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OKByYsdBu4jZ6uaY1reckHLHGE+cqVoNskvAkh62cTbhTs2kihAPxIKxqqwju8aIch4j7qcJzU4QRdBlzkzZNw==" workbookSaltValue="rMShZyQ5Zznxsht2pfAQng==" workbookSpinCount="100000" lockStructure="1"/>
  <bookViews>
    <workbookView xWindow="0" yWindow="0" windowWidth="15120" windowHeight="6465" tabRatio="500"/>
  </bookViews>
  <sheets>
    <sheet name="Executive Mapping Analysis" sheetId="1" r:id="rId1"/>
    <sheet name="Data Capture Sheet" sheetId="2" r:id="rId2"/>
    <sheet name="DROPDOWNS" sheetId="3" state="hidden" r:id="rId3"/>
    <sheet name="LOOKUPS" sheetId="6" state="hidden" r:id="rId4"/>
    <sheet name="LOOKUPS - CORP JOBS" sheetId="7" state="hidden" r:id="rId5"/>
    <sheet name="LOOKUPS - BU JOBS" sheetId="12" state="hidden" r:id="rId6"/>
    <sheet name="CALCULATIONS" sheetId="4" state="hidden" r:id="rId7"/>
  </sheets>
  <definedNames>
    <definedName name="_xlnm._FilterDatabase" localSheetId="5" hidden="1">'LOOKUPS - BU JOBS'!$C$1:$I$1</definedName>
    <definedName name="_xlnm._FilterDatabase" localSheetId="4" hidden="1">'LOOKUPS - CORP JOBS'!$C$1:$I$39</definedName>
    <definedName name="ClientName">'Executive Mapping Analysis'!$D$10</definedName>
    <definedName name="Internationalization">DROPDOWNS!$R$4:$R$9</definedName>
    <definedName name="JobTitle">DROPDOWNS!$W$4:$W$42</definedName>
    <definedName name="Ownership">DROPDOWNS!$M$4:$M$11</definedName>
    <definedName name="ReportingLevel">DROPDOWNS!$AD$4:$AD$8</definedName>
    <definedName name="Sector">DROPDOWNS!$H$4:$H$27</definedName>
    <definedName name="YesNo">DROPDOWNS!$C$4:$C$6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9" i="4" l="1"/>
  <c r="S13" i="4" s="1"/>
  <c r="S14" i="4" s="1"/>
  <c r="S6" i="4"/>
  <c r="D7" i="4"/>
  <c r="D11" i="4" s="1"/>
  <c r="F50" i="6"/>
  <c r="C34" i="1"/>
  <c r="D35" i="1" s="1"/>
  <c r="C17" i="1"/>
  <c r="E19" i="1"/>
  <c r="E46" i="6"/>
  <c r="F46" i="6"/>
  <c r="G46" i="6"/>
  <c r="E47" i="6"/>
  <c r="F47" i="6"/>
  <c r="G47" i="6"/>
  <c r="E48" i="6"/>
  <c r="F48" i="6"/>
  <c r="G48" i="6"/>
  <c r="E49" i="6"/>
  <c r="F49" i="6"/>
  <c r="G49" i="6"/>
  <c r="E50" i="6"/>
  <c r="G50" i="6"/>
  <c r="G45" i="6"/>
  <c r="F45" i="6"/>
  <c r="E45" i="6"/>
  <c r="C55" i="1"/>
  <c r="D28" i="4"/>
  <c r="C50" i="1"/>
  <c r="G3" i="7"/>
  <c r="H3" i="7"/>
  <c r="I3" i="7"/>
  <c r="I4" i="7"/>
  <c r="H6" i="7"/>
  <c r="I6" i="7"/>
  <c r="F7" i="7"/>
  <c r="F8" i="7"/>
  <c r="I8" i="7"/>
  <c r="I9" i="7"/>
  <c r="F10" i="7"/>
  <c r="F11" i="7"/>
  <c r="I12" i="7"/>
  <c r="F13" i="7"/>
  <c r="I14" i="7"/>
  <c r="F15" i="7"/>
  <c r="F16" i="7"/>
  <c r="F17" i="7"/>
  <c r="F18" i="7"/>
  <c r="F19" i="7"/>
  <c r="I20" i="7"/>
  <c r="F29" i="7"/>
  <c r="F31" i="7"/>
  <c r="F32" i="7"/>
  <c r="F33" i="7"/>
  <c r="F34" i="7"/>
  <c r="D27" i="4"/>
  <c r="D26" i="4"/>
  <c r="D6" i="4"/>
  <c r="W41" i="3" l="1"/>
  <c r="W25" i="3"/>
  <c r="W9" i="3"/>
  <c r="W37" i="3"/>
  <c r="W21" i="3"/>
  <c r="W33" i="3"/>
  <c r="W17" i="3"/>
  <c r="W29" i="3"/>
  <c r="W13" i="3"/>
  <c r="S11" i="4"/>
  <c r="W40" i="3"/>
  <c r="W36" i="3"/>
  <c r="W32" i="3"/>
  <c r="W28" i="3"/>
  <c r="W24" i="3"/>
  <c r="W20" i="3"/>
  <c r="W16" i="3"/>
  <c r="W12" i="3"/>
  <c r="W8" i="3"/>
  <c r="D15" i="4"/>
  <c r="D23" i="4" s="1"/>
  <c r="I6" i="4" s="1"/>
  <c r="D8" i="4"/>
  <c r="W5" i="3"/>
  <c r="W39" i="3"/>
  <c r="W35" i="3"/>
  <c r="W31" i="3"/>
  <c r="W27" i="3"/>
  <c r="W23" i="3"/>
  <c r="W19" i="3"/>
  <c r="W15" i="3"/>
  <c r="W11" i="3"/>
  <c r="W7" i="3"/>
  <c r="D12" i="4"/>
  <c r="D20" i="4" s="1"/>
  <c r="D19" i="4"/>
  <c r="I9" i="4" s="1"/>
  <c r="W42" i="3"/>
  <c r="W38" i="3"/>
  <c r="W34" i="3"/>
  <c r="W30" i="3"/>
  <c r="W26" i="3"/>
  <c r="W22" i="3"/>
  <c r="W18" i="3"/>
  <c r="W14" i="3"/>
  <c r="W10" i="3"/>
  <c r="W6" i="3"/>
  <c r="N10" i="4"/>
  <c r="S8" i="4"/>
  <c r="S9" i="4"/>
  <c r="D14" i="4"/>
  <c r="D22" i="4" s="1"/>
  <c r="I16" i="4" s="1"/>
  <c r="D16" i="4"/>
  <c r="D24" i="4" s="1"/>
  <c r="D13" i="4"/>
  <c r="D21" i="4" s="1"/>
  <c r="D10" i="4"/>
  <c r="N6" i="4" s="1"/>
  <c r="D18" i="4" l="1"/>
  <c r="I8" i="4" s="1"/>
  <c r="I11" i="4" s="1"/>
  <c r="I18" i="4" l="1"/>
  <c r="I19" i="4" s="1"/>
  <c r="I13" i="4"/>
  <c r="I14" i="4" s="1"/>
  <c r="N7" i="4"/>
  <c r="I21" i="4" l="1"/>
  <c r="I23" i="4" s="1"/>
  <c r="S16" i="4" s="1"/>
  <c r="N9" i="4" l="1"/>
  <c r="N12" i="4" s="1"/>
  <c r="N14" i="4" s="1"/>
  <c r="S18" i="4" s="1"/>
  <c r="N19" i="4" s="1"/>
  <c r="E44" i="1" s="1"/>
</calcChain>
</file>

<file path=xl/sharedStrings.xml><?xml version="1.0" encoding="utf-8"?>
<sst xmlns="http://schemas.openxmlformats.org/spreadsheetml/2006/main" count="635" uniqueCount="337">
  <si>
    <t>Company Information</t>
  </si>
  <si>
    <t>Position Information</t>
  </si>
  <si>
    <t>Compensation Information</t>
  </si>
  <si>
    <t>Company Revenues (US$million)</t>
  </si>
  <si>
    <t>Company ownership type</t>
  </si>
  <si>
    <t>Number of employees</t>
  </si>
  <si>
    <t>Degree of Internationalization</t>
  </si>
  <si>
    <t>KF 
Sector Code</t>
  </si>
  <si>
    <t>KF Sector Name</t>
  </si>
  <si>
    <t>CEO RL</t>
  </si>
  <si>
    <t>Position Title</t>
  </si>
  <si>
    <t xml:space="preserve">Country </t>
  </si>
  <si>
    <t>Number of Levels from CEO</t>
  </si>
  <si>
    <t>HG Function Code</t>
  </si>
  <si>
    <t>Position RL</t>
  </si>
  <si>
    <t>Final Salary</t>
  </si>
  <si>
    <t>Final Bonus</t>
  </si>
  <si>
    <t>Currency</t>
  </si>
  <si>
    <t>Notes:</t>
  </si>
  <si>
    <r>
      <t xml:space="preserve">All "company information" refers to the ultimate global parent company, </t>
    </r>
    <r>
      <rPr>
        <u/>
        <sz val="11"/>
        <color theme="1"/>
        <rFont val="Calibri"/>
        <family val="2"/>
        <scheme val="minor"/>
      </rPr>
      <t>not</t>
    </r>
    <r>
      <rPr>
        <sz val="12"/>
        <color theme="1"/>
        <rFont val="Calibri"/>
        <family val="2"/>
        <scheme val="minor"/>
      </rPr>
      <t xml:space="preserve"> the business unit or division that the position sits in.</t>
    </r>
  </si>
  <si>
    <t>Company information is used to determine the job size for the company CEO - on which all other job sizes depend.</t>
  </si>
  <si>
    <t>Information provided by:</t>
  </si>
  <si>
    <t>KF search partners</t>
  </si>
  <si>
    <t>KF admin/support teams</t>
  </si>
  <si>
    <t>HG experts</t>
  </si>
  <si>
    <t>Company revenues - global annual revenues in millions of US Dollars, for the entire company.</t>
  </si>
  <si>
    <t>Company ownership type - can be Public, Private, Government, JV/Mutual, State Owned, Family, Not-for-profit.</t>
  </si>
  <si>
    <t>Number of employees - total global employee count.</t>
  </si>
  <si>
    <t>Degree of internationalization - % of total company revenues that come from outside the "home" country.</t>
  </si>
  <si>
    <t>KF Sector code/sector name.</t>
  </si>
  <si>
    <t>Position Title = Job Title</t>
  </si>
  <si>
    <t>Country - country where the job is usually based.</t>
  </si>
  <si>
    <t xml:space="preserve">Number of levels from CEO - how many steps in the organization, between the position and the CEO.  </t>
  </si>
  <si>
    <t>For example in a reporting line of CEO --&gt; Business Unit Head --&gt; Position - the answer would be "2".</t>
  </si>
  <si>
    <t>Or, in a reporting line of CEO --&gt; Position (i.e. position reports to the CEO), the answer would be "1".</t>
  </si>
  <si>
    <t>If the position is a CEO, the answer is "0".</t>
  </si>
  <si>
    <t>Company Name:</t>
  </si>
  <si>
    <t>Is this the overall Parent company?</t>
  </si>
  <si>
    <t>Parent Company Name:</t>
  </si>
  <si>
    <t>Ownership:</t>
  </si>
  <si>
    <t>Sector of Operations:</t>
  </si>
  <si>
    <t>Degree of Internationalization:</t>
  </si>
  <si>
    <t>Yes</t>
  </si>
  <si>
    <t>No</t>
  </si>
  <si>
    <t>Please provide the following information on the role/position needed:</t>
  </si>
  <si>
    <t>Number of Employees:</t>
  </si>
  <si>
    <t>Country:</t>
  </si>
  <si>
    <t>Client Position Title:</t>
  </si>
  <si>
    <t>Select the job that best matches:</t>
  </si>
  <si>
    <t>YesNo</t>
  </si>
  <si>
    <t>Sector</t>
  </si>
  <si>
    <t>Banks</t>
  </si>
  <si>
    <t>Chemicals</t>
  </si>
  <si>
    <t>Construction &amp; Materials</t>
  </si>
  <si>
    <t>Consumer Durables</t>
  </si>
  <si>
    <t>Education</t>
  </si>
  <si>
    <t>Fast Moving Consumer Goods</t>
  </si>
  <si>
    <t>Financial Services</t>
  </si>
  <si>
    <t>Healthcare</t>
  </si>
  <si>
    <t>High Technology</t>
  </si>
  <si>
    <t>Industrial Goods</t>
  </si>
  <si>
    <t>Insurance</t>
  </si>
  <si>
    <t>Leisure &amp; Hospitality</t>
  </si>
  <si>
    <t>Life Sciences</t>
  </si>
  <si>
    <t>Media</t>
  </si>
  <si>
    <t>Natural Resources</t>
  </si>
  <si>
    <t>Not-for-Profit</t>
  </si>
  <si>
    <t>Oil &amp; Gas</t>
  </si>
  <si>
    <t>Public Sector</t>
  </si>
  <si>
    <t>Retail</t>
  </si>
  <si>
    <t>Services</t>
  </si>
  <si>
    <t>Telecommunications</t>
  </si>
  <si>
    <t>Transportation</t>
  </si>
  <si>
    <t>Utilities</t>
  </si>
  <si>
    <t>Family</t>
  </si>
  <si>
    <t>Government / Public Sector</t>
  </si>
  <si>
    <t>Joint Venture / Mutual</t>
  </si>
  <si>
    <t>Private</t>
  </si>
  <si>
    <t>Public</t>
  </si>
  <si>
    <t>State Owned</t>
  </si>
  <si>
    <t>Ownership</t>
  </si>
  <si>
    <t>Internationalization</t>
  </si>
  <si>
    <t>0% to 20%</t>
  </si>
  <si>
    <t>21% to 40%</t>
  </si>
  <si>
    <t>41% to 60%</t>
  </si>
  <si>
    <t>61% to 80%</t>
  </si>
  <si>
    <t>81% to 100%</t>
  </si>
  <si>
    <t>Company Name</t>
  </si>
  <si>
    <t>Parent Company Name</t>
  </si>
  <si>
    <t>Parent Company Y/N</t>
  </si>
  <si>
    <t>Company Total Revenue</t>
  </si>
  <si>
    <t>Company Market Cap</t>
  </si>
  <si>
    <t>Company Assets</t>
  </si>
  <si>
    <t>Company Employees</t>
  </si>
  <si>
    <t>Company Ownership</t>
  </si>
  <si>
    <t>Company Sector</t>
  </si>
  <si>
    <t>Company Internationalization</t>
  </si>
  <si>
    <t>Parent Total Revenue</t>
  </si>
  <si>
    <t>Parent Market Cap</t>
  </si>
  <si>
    <t>Parent Assets</t>
  </si>
  <si>
    <t>Parent Employees</t>
  </si>
  <si>
    <t>Parent Ownership</t>
  </si>
  <si>
    <t>Parent Sector</t>
  </si>
  <si>
    <t>Parent Internationalization</t>
  </si>
  <si>
    <t>DATA INPUTS</t>
  </si>
  <si>
    <t>N/A</t>
  </si>
  <si>
    <t>Chief Executive Officer</t>
  </si>
  <si>
    <t>Group Head</t>
  </si>
  <si>
    <t>Division Head</t>
  </si>
  <si>
    <t>Chief Operating Officer</t>
  </si>
  <si>
    <t>Chief Administrative Officer</t>
  </si>
  <si>
    <t>Head of Strategic Planning</t>
  </si>
  <si>
    <t>Chief Financial Officer</t>
  </si>
  <si>
    <t>Treasurer</t>
  </si>
  <si>
    <t>Controller</t>
  </si>
  <si>
    <t>Head of Internal Audit</t>
  </si>
  <si>
    <t>Head of Tax</t>
  </si>
  <si>
    <t>Head of Shareholder Relations</t>
  </si>
  <si>
    <t>Chief Information Officer</t>
  </si>
  <si>
    <t>Head of Information Technology</t>
  </si>
  <si>
    <t>Head of Human Resources</t>
  </si>
  <si>
    <t>Head of Training and Development</t>
  </si>
  <si>
    <t>Head of Compensation and Benefits</t>
  </si>
  <si>
    <t>Head of Recruiting</t>
  </si>
  <si>
    <t>Head of Organization Development</t>
  </si>
  <si>
    <t>Head of Labor Relations</t>
  </si>
  <si>
    <t>Head of Law/Legal Executive</t>
  </si>
  <si>
    <t>Head of Marketing</t>
  </si>
  <si>
    <t>Head of E-Commerce</t>
  </si>
  <si>
    <t>Head of Marketing and Sales</t>
  </si>
  <si>
    <t>Head of Sales</t>
  </si>
  <si>
    <t>Head of Research and Development</t>
  </si>
  <si>
    <t>Head of Engineering</t>
  </si>
  <si>
    <t>Head of Logistics/Supply Chain</t>
  </si>
  <si>
    <t>Head of Purchasing/Procurement</t>
  </si>
  <si>
    <t>Head of Materials</t>
  </si>
  <si>
    <t>Head of Distribution/Transportation</t>
  </si>
  <si>
    <t>Head of Property Development</t>
  </si>
  <si>
    <t>Head of Real Estate</t>
  </si>
  <si>
    <t>Head of Construction</t>
  </si>
  <si>
    <t>Head of Energy and Facility Management</t>
  </si>
  <si>
    <t>Head of Manufacturing</t>
  </si>
  <si>
    <t>Head of Operations (Non-Manufacturing)</t>
  </si>
  <si>
    <t>Head of Corporate Affairs</t>
  </si>
  <si>
    <t>Head of Quality Assurance/Quality Control</t>
  </si>
  <si>
    <t>Head of Health, Safety and Environmental Affairs</t>
  </si>
  <si>
    <t>0001</t>
  </si>
  <si>
    <t>0005</t>
  </si>
  <si>
    <t>0006</t>
  </si>
  <si>
    <t>0002</t>
  </si>
  <si>
    <t>0003</t>
  </si>
  <si>
    <t>0004</t>
  </si>
  <si>
    <t>0020</t>
  </si>
  <si>
    <t>0021</t>
  </si>
  <si>
    <t>0022</t>
  </si>
  <si>
    <t>0023</t>
  </si>
  <si>
    <t>0024</t>
  </si>
  <si>
    <t>5732</t>
  </si>
  <si>
    <t>0040</t>
  </si>
  <si>
    <t>7517</t>
  </si>
  <si>
    <t>0060</t>
  </si>
  <si>
    <t>6005</t>
  </si>
  <si>
    <t>0061</t>
  </si>
  <si>
    <t>0062</t>
  </si>
  <si>
    <t>5993</t>
  </si>
  <si>
    <t>5944</t>
  </si>
  <si>
    <t>0080</t>
  </si>
  <si>
    <t>0100</t>
  </si>
  <si>
    <t>6396</t>
  </si>
  <si>
    <t>0140</t>
  </si>
  <si>
    <t>0141</t>
  </si>
  <si>
    <t>0180</t>
  </si>
  <si>
    <t>0200</t>
  </si>
  <si>
    <t>0220</t>
  </si>
  <si>
    <t>6320</t>
  </si>
  <si>
    <t>6346</t>
  </si>
  <si>
    <t>7545</t>
  </si>
  <si>
    <t>0260</t>
  </si>
  <si>
    <t>6728</t>
  </si>
  <si>
    <t>6730</t>
  </si>
  <si>
    <t>6724</t>
  </si>
  <si>
    <t>0280</t>
  </si>
  <si>
    <t>0281</t>
  </si>
  <si>
    <t>0340</t>
  </si>
  <si>
    <t>0360</t>
  </si>
  <si>
    <t>0380</t>
  </si>
  <si>
    <t>Business Unit Chief Operating Officer</t>
  </si>
  <si>
    <t>Business Unit Chief Administrative Officer</t>
  </si>
  <si>
    <t>Business Unit Head of Strategic Planning</t>
  </si>
  <si>
    <t>Business Unit Treasurer</t>
  </si>
  <si>
    <t>Business Unit Controller</t>
  </si>
  <si>
    <t>Business Unit Head of Internal Audit</t>
  </si>
  <si>
    <t>Business Unit Head of Tax</t>
  </si>
  <si>
    <t>Business Unit Head of Information Technology</t>
  </si>
  <si>
    <t>Business Unit Head of Human Resources</t>
  </si>
  <si>
    <t>Business Unit Head of Training and Development</t>
  </si>
  <si>
    <t>Business Unit Head of Compensation &amp; Benefits</t>
  </si>
  <si>
    <t>Business Unit Head of Recruiting</t>
  </si>
  <si>
    <t>Business Unit Head of Organization Development</t>
  </si>
  <si>
    <t>Business Unit Head of Labor Relations</t>
  </si>
  <si>
    <t>Business Unit Head of Marketing</t>
  </si>
  <si>
    <t>Business Unit Head of E-Commerce</t>
  </si>
  <si>
    <t>Business Unit Head of Marketing and Sales</t>
  </si>
  <si>
    <t>Business Unit Head of Sales</t>
  </si>
  <si>
    <t>Business Unit Head of Research and Development</t>
  </si>
  <si>
    <t>Business Unit Head of Engineering</t>
  </si>
  <si>
    <t>Business Unit Head of Logistics/Supply Chain</t>
  </si>
  <si>
    <t>Business Unit Head of Purchasing/Procurement</t>
  </si>
  <si>
    <t>Business Unit Head of Materials</t>
  </si>
  <si>
    <t>Business Unit Head of Distribution/Transportation</t>
  </si>
  <si>
    <t>Business Unit Head of Property Development</t>
  </si>
  <si>
    <t>Business Unit Head of Real Estate</t>
  </si>
  <si>
    <t>Business Unit Head of Construction</t>
  </si>
  <si>
    <t>Business Unit Head of Energy and Facility Management</t>
  </si>
  <si>
    <t>Business Unit Head of Manufacturing</t>
  </si>
  <si>
    <t>Business Unit Head of Operations (Non-Manufacturing)</t>
  </si>
  <si>
    <t>Business Unit Head of Health, Safety, and Environmental Affairs</t>
  </si>
  <si>
    <t>JobTitle</t>
  </si>
  <si>
    <t>DD CODE</t>
  </si>
  <si>
    <t>ReportingLevel</t>
  </si>
  <si>
    <t>One</t>
  </si>
  <si>
    <t>Two</t>
  </si>
  <si>
    <t>Three</t>
  </si>
  <si>
    <t>Four</t>
  </si>
  <si>
    <t>Client Position Title</t>
  </si>
  <si>
    <t>Country</t>
  </si>
  <si>
    <t>Level From Leader</t>
  </si>
  <si>
    <t>CEO MAPPING</t>
  </si>
  <si>
    <t>Revenue RL</t>
  </si>
  <si>
    <t>Market Cap RL</t>
  </si>
  <si>
    <t>Sector Impact</t>
  </si>
  <si>
    <t>Internationalization Impact</t>
  </si>
  <si>
    <t>SECTOR</t>
  </si>
  <si>
    <t>31.00 TO 34.99</t>
  </si>
  <si>
    <t>26.00 TO 30.99</t>
  </si>
  <si>
    <t>21.00 TO 25.99</t>
  </si>
  <si>
    <t>35.00+</t>
  </si>
  <si>
    <t>Ownership Impact</t>
  </si>
  <si>
    <t>INTERNATIONALIZATION</t>
  </si>
  <si>
    <t>SECTOR OF OPERATION</t>
  </si>
  <si>
    <t>DEGREE OF INTERNATIONALIZATON</t>
  </si>
  <si>
    <t>Total Impact</t>
  </si>
  <si>
    <t>Final CEO RL</t>
  </si>
  <si>
    <t>BU / SUBSIDIARY HEAD MAPPING</t>
  </si>
  <si>
    <t>% OF PARENT REVENUE</t>
  </si>
  <si>
    <t>0% to 4.99%</t>
  </si>
  <si>
    <t>BU Revenue</t>
  </si>
  <si>
    <t>% Of Parent Revenue</t>
  </si>
  <si>
    <t>Sector RL Range</t>
  </si>
  <si>
    <t>Internationalization RL Range</t>
  </si>
  <si>
    <t>5% to 9.99%</t>
  </si>
  <si>
    <t>10% to 19.99%</t>
  </si>
  <si>
    <t>20% to 39.99%</t>
  </si>
  <si>
    <t>40% to 79.99%</t>
  </si>
  <si>
    <t>80% to 99.99%</t>
  </si>
  <si>
    <t>Final BU Head RL</t>
  </si>
  <si>
    <t>Adjusted Rev Sector</t>
  </si>
  <si>
    <t>Rev/Cap Average RL</t>
  </si>
  <si>
    <t>PARENT COMPANY OWNERSHIP</t>
  </si>
  <si>
    <t>OWNERSHIP</t>
  </si>
  <si>
    <t>ADJUSTMENT</t>
  </si>
  <si>
    <t>LEVEL DROPS</t>
  </si>
  <si>
    <t>LEVEL FROM</t>
  </si>
  <si>
    <t>Revenue Drops</t>
  </si>
  <si>
    <t>Level From Drops</t>
  </si>
  <si>
    <t>Total BU Head RL Drops</t>
  </si>
  <si>
    <t>Corporate</t>
  </si>
  <si>
    <t>Business Unit</t>
  </si>
  <si>
    <t>5574</t>
  </si>
  <si>
    <t>5705</t>
  </si>
  <si>
    <t>Business Unit Head of Finance</t>
  </si>
  <si>
    <t>5643</t>
  </si>
  <si>
    <t>5644</t>
  </si>
  <si>
    <t>7477</t>
  </si>
  <si>
    <t>7478</t>
  </si>
  <si>
    <t>7479</t>
  </si>
  <si>
    <t>7480</t>
  </si>
  <si>
    <t>6004</t>
  </si>
  <si>
    <t>7481</t>
  </si>
  <si>
    <t>7482</t>
  </si>
  <si>
    <t>5995</t>
  </si>
  <si>
    <t>5943</t>
  </si>
  <si>
    <t>6281</t>
  </si>
  <si>
    <t>Business Unit Head of Law</t>
  </si>
  <si>
    <t>6410</t>
  </si>
  <si>
    <t>6397</t>
  </si>
  <si>
    <t>7490</t>
  </si>
  <si>
    <t>6530</t>
  </si>
  <si>
    <t>7486</t>
  </si>
  <si>
    <t>6336</t>
  </si>
  <si>
    <t>6319</t>
  </si>
  <si>
    <t>7546</t>
  </si>
  <si>
    <t>6729</t>
  </si>
  <si>
    <t>6727</t>
  </si>
  <si>
    <t>6723</t>
  </si>
  <si>
    <t>7488</t>
  </si>
  <si>
    <t>7489</t>
  </si>
  <si>
    <t>7485</t>
  </si>
  <si>
    <t>5573</t>
  </si>
  <si>
    <t>5567</t>
  </si>
  <si>
    <t>7484</t>
  </si>
  <si>
    <t>6348</t>
  </si>
  <si>
    <t>7544</t>
  </si>
  <si>
    <t>Head of Finance</t>
  </si>
  <si>
    <t>Head of Compensation &amp; Benefits</t>
  </si>
  <si>
    <t>Head of Law</t>
  </si>
  <si>
    <t>Head of Health, Safety, and Environmental Affairs</t>
  </si>
  <si>
    <t>Corporate Jobs</t>
  </si>
  <si>
    <t>Business Unit Jobs</t>
  </si>
  <si>
    <t>SUBORDINATE MAPPING</t>
  </si>
  <si>
    <t>Job Title Selection</t>
  </si>
  <si>
    <t>HG Job Code</t>
  </si>
  <si>
    <t>HG Job Title</t>
  </si>
  <si>
    <t>SORT</t>
  </si>
  <si>
    <t>DROP DOWN TITLE</t>
  </si>
  <si>
    <t>HAY GROUP JOB CODE</t>
  </si>
  <si>
    <t>HAY GROUP JOB TITLE</t>
  </si>
  <si>
    <t>CORPORATE / BUSINESS UNIT</t>
  </si>
  <si>
    <t>1 LEVEL BELOW</t>
  </si>
  <si>
    <t>2 LEVELS BELOW</t>
  </si>
  <si>
    <t>3 LEVELS BELOW</t>
  </si>
  <si>
    <t>4 LEVELS BELOW</t>
  </si>
  <si>
    <t>Sub Head Level From CEO</t>
  </si>
  <si>
    <t>Position Level From Leader</t>
  </si>
  <si>
    <t>Corporate / Business Unit</t>
  </si>
  <si>
    <t>Level From Leader Range</t>
  </si>
  <si>
    <t>Final Subordinate RL</t>
  </si>
  <si>
    <t>Reference Level</t>
  </si>
  <si>
    <t>Final Position RL</t>
  </si>
  <si>
    <t>SECTION 1 - COMPANY DATA</t>
  </si>
  <si>
    <t>SECTION 2 - JOB / POSITION DATA</t>
  </si>
  <si>
    <t>Total Revenue ($m):</t>
  </si>
  <si>
    <t>Total Assets ($m):</t>
  </si>
  <si>
    <t>Market Cap ($m):</t>
  </si>
  <si>
    <t>USA</t>
  </si>
  <si>
    <t>Buffalo Wild Wing, Inc.</t>
  </si>
  <si>
    <t>EXECUTIVE MAPPING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</si>
</sst>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;[Red]&quot;$&quot;#,##0"/>
    <numFmt numFmtId="165" formatCode="#,##0.00_ ;[Red]\-#,##0.00\ "/>
    <numFmt numFmtId="166" formatCode="0.00_ ;[Red]\-0.00\ "/>
    <numFmt numFmtId="167" formatCode="0_ ;[Red]\-0\ "/>
    <numFmt numFmtId="168" formatCode="#,##0;[Red]#,##0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2"/>
      <color theme="9" tint="-0.249977111117893"/>
      <name val="Arial"/>
      <family val="2"/>
    </font>
    <font>
      <sz val="8"/>
      <name val="Calibri"/>
      <family val="2"/>
      <scheme val="minor"/>
    </font>
    <font>
      <b/>
      <i/>
      <sz val="12"/>
      <color theme="0"/>
      <name val="Arial"/>
      <family val="2"/>
    </font>
    <font>
      <b/>
      <sz val="72"/>
      <color theme="9" tint="-0.249977111117893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theme="9"/>
      </left>
      <right style="thick">
        <color theme="9"/>
      </right>
      <top style="thick">
        <color theme="9"/>
      </top>
      <bottom/>
      <diagonal/>
    </border>
    <border>
      <left style="thick">
        <color theme="9"/>
      </left>
      <right style="thick">
        <color theme="9"/>
      </right>
      <top/>
      <bottom/>
      <diagonal/>
    </border>
    <border>
      <left style="thick">
        <color theme="9"/>
      </left>
      <right style="thick">
        <color theme="9"/>
      </right>
      <top/>
      <bottom style="thick">
        <color theme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0" fontId="1" fillId="0" borderId="0"/>
  </cellStyleXfs>
  <cellXfs count="106">
    <xf numFmtId="0" fontId="0" fillId="0" borderId="0" xfId="0"/>
    <xf numFmtId="0" fontId="3" fillId="0" borderId="0" xfId="1" applyFont="1" applyFill="1" applyAlignment="1">
      <alignment wrapText="1"/>
    </xf>
    <xf numFmtId="3" fontId="4" fillId="2" borderId="3" xfId="1" applyNumberFormat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 vertical="center" wrapText="1"/>
    </xf>
    <xf numFmtId="9" fontId="4" fillId="2" borderId="3" xfId="1" applyNumberFormat="1" applyFont="1" applyFill="1" applyBorder="1" applyAlignment="1">
      <alignment horizontal="center" vertical="center" wrapText="1"/>
    </xf>
    <xf numFmtId="0" fontId="4" fillId="3" borderId="3" xfId="1" applyFont="1" applyFill="1" applyBorder="1" applyAlignment="1">
      <alignment horizontal="center" vertical="center" wrapText="1"/>
    </xf>
    <xf numFmtId="1" fontId="4" fillId="4" borderId="3" xfId="1" applyNumberFormat="1" applyFont="1" applyFill="1" applyBorder="1" applyAlignment="1">
      <alignment horizontal="center" vertical="center" wrapText="1"/>
    </xf>
    <xf numFmtId="1" fontId="4" fillId="3" borderId="3" xfId="1" applyNumberFormat="1" applyFont="1" applyFill="1" applyBorder="1" applyAlignment="1">
      <alignment horizontal="center" vertical="center" wrapText="1"/>
    </xf>
    <xf numFmtId="0" fontId="1" fillId="0" borderId="0" xfId="1" applyFill="1"/>
    <xf numFmtId="0" fontId="1" fillId="0" borderId="0" xfId="1" applyFill="1" applyAlignment="1">
      <alignment wrapText="1"/>
    </xf>
    <xf numFmtId="0" fontId="1" fillId="0" borderId="0" xfId="1" applyFill="1" applyBorder="1"/>
    <xf numFmtId="0" fontId="1" fillId="4" borderId="0" xfId="1" applyFill="1"/>
    <xf numFmtId="0" fontId="1" fillId="2" borderId="0" xfId="1" applyFill="1"/>
    <xf numFmtId="0" fontId="1" fillId="3" borderId="0" xfId="1" applyFill="1"/>
    <xf numFmtId="0" fontId="14" fillId="5" borderId="0" xfId="0" applyFont="1" applyFill="1"/>
    <xf numFmtId="0" fontId="14" fillId="5" borderId="5" xfId="0" applyFont="1" applyFill="1" applyBorder="1"/>
    <xf numFmtId="0" fontId="14" fillId="5" borderId="6" xfId="0" applyFont="1" applyFill="1" applyBorder="1"/>
    <xf numFmtId="0" fontId="14" fillId="5" borderId="7" xfId="0" applyFont="1" applyFill="1" applyBorder="1"/>
    <xf numFmtId="0" fontId="14" fillId="5" borderId="4" xfId="0" applyFont="1" applyFill="1" applyBorder="1"/>
    <xf numFmtId="0" fontId="15" fillId="7" borderId="0" xfId="0" applyFont="1" applyFill="1" applyBorder="1"/>
    <xf numFmtId="0" fontId="14" fillId="5" borderId="0" xfId="0" applyFont="1" applyFill="1" applyBorder="1"/>
    <xf numFmtId="0" fontId="14" fillId="5" borderId="8" xfId="0" applyFont="1" applyFill="1" applyBorder="1"/>
    <xf numFmtId="0" fontId="14" fillId="8" borderId="0" xfId="0" applyFont="1" applyFill="1" applyBorder="1"/>
    <xf numFmtId="0" fontId="14" fillId="5" borderId="9" xfId="0" applyFont="1" applyFill="1" applyBorder="1"/>
    <xf numFmtId="0" fontId="14" fillId="5" borderId="10" xfId="0" applyFont="1" applyFill="1" applyBorder="1"/>
    <xf numFmtId="0" fontId="14" fillId="5" borderId="11" xfId="0" applyFont="1" applyFill="1" applyBorder="1"/>
    <xf numFmtId="0" fontId="14" fillId="5" borderId="3" xfId="0" applyFont="1" applyFill="1" applyBorder="1"/>
    <xf numFmtId="0" fontId="15" fillId="5" borderId="0" xfId="0" applyFont="1" applyFill="1"/>
    <xf numFmtId="0" fontId="16" fillId="5" borderId="0" xfId="0" applyFont="1" applyFill="1" applyBorder="1"/>
    <xf numFmtId="0" fontId="15" fillId="5" borderId="0" xfId="0" applyFont="1" applyFill="1" applyBorder="1"/>
    <xf numFmtId="0" fontId="15" fillId="10" borderId="3" xfId="0" applyFont="1" applyFill="1" applyBorder="1" applyAlignment="1">
      <alignment horizontal="center" vertical="center"/>
    </xf>
    <xf numFmtId="0" fontId="15" fillId="4" borderId="0" xfId="0" applyFont="1" applyFill="1" applyBorder="1"/>
    <xf numFmtId="0" fontId="14" fillId="9" borderId="0" xfId="0" applyFont="1" applyFill="1" applyBorder="1"/>
    <xf numFmtId="165" fontId="14" fillId="5" borderId="3" xfId="0" applyNumberFormat="1" applyFont="1" applyFill="1" applyBorder="1"/>
    <xf numFmtId="165" fontId="14" fillId="5" borderId="0" xfId="0" applyNumberFormat="1" applyFont="1" applyFill="1" applyBorder="1"/>
    <xf numFmtId="165" fontId="14" fillId="5" borderId="10" xfId="0" applyNumberFormat="1" applyFont="1" applyFill="1" applyBorder="1"/>
    <xf numFmtId="165" fontId="14" fillId="5" borderId="6" xfId="0" applyNumberFormat="1" applyFont="1" applyFill="1" applyBorder="1"/>
    <xf numFmtId="0" fontId="14" fillId="5" borderId="0" xfId="0" applyFont="1" applyFill="1" applyAlignment="1">
      <alignment horizontal="right"/>
    </xf>
    <xf numFmtId="0" fontId="14" fillId="5" borderId="6" xfId="0" applyFont="1" applyFill="1" applyBorder="1" applyAlignment="1">
      <alignment horizontal="right"/>
    </xf>
    <xf numFmtId="0" fontId="14" fillId="5" borderId="0" xfId="0" applyFont="1" applyFill="1" applyBorder="1" applyAlignment="1">
      <alignment horizontal="right"/>
    </xf>
    <xf numFmtId="0" fontId="14" fillId="5" borderId="10" xfId="0" applyFont="1" applyFill="1" applyBorder="1" applyAlignment="1">
      <alignment horizontal="right"/>
    </xf>
    <xf numFmtId="0" fontId="15" fillId="5" borderId="6" xfId="0" applyFont="1" applyFill="1" applyBorder="1"/>
    <xf numFmtId="0" fontId="15" fillId="5" borderId="10" xfId="0" applyFont="1" applyFill="1" applyBorder="1"/>
    <xf numFmtId="0" fontId="15" fillId="11" borderId="0" xfId="0" applyFont="1" applyFill="1" applyBorder="1"/>
    <xf numFmtId="0" fontId="15" fillId="11" borderId="0" xfId="0" applyFont="1" applyFill="1" applyBorder="1" applyAlignment="1">
      <alignment horizontal="right"/>
    </xf>
    <xf numFmtId="2" fontId="14" fillId="5" borderId="0" xfId="0" applyNumberFormat="1" applyFont="1" applyFill="1" applyBorder="1"/>
    <xf numFmtId="0" fontId="15" fillId="5" borderId="0" xfId="0" applyFont="1" applyFill="1" applyBorder="1" applyAlignment="1">
      <alignment horizontal="center" vertical="center"/>
    </xf>
    <xf numFmtId="165" fontId="14" fillId="5" borderId="7" xfId="0" applyNumberFormat="1" applyFont="1" applyFill="1" applyBorder="1"/>
    <xf numFmtId="165" fontId="14" fillId="5" borderId="8" xfId="0" applyNumberFormat="1" applyFont="1" applyFill="1" applyBorder="1"/>
    <xf numFmtId="0" fontId="15" fillId="5" borderId="8" xfId="0" applyFont="1" applyFill="1" applyBorder="1" applyAlignment="1">
      <alignment horizontal="center" vertical="center"/>
    </xf>
    <xf numFmtId="166" fontId="14" fillId="5" borderId="3" xfId="0" applyNumberFormat="1" applyFont="1" applyFill="1" applyBorder="1"/>
    <xf numFmtId="167" fontId="14" fillId="5" borderId="3" xfId="0" applyNumberFormat="1" applyFont="1" applyFill="1" applyBorder="1"/>
    <xf numFmtId="0" fontId="14" fillId="5" borderId="0" xfId="0" applyFont="1" applyFill="1" applyAlignment="1">
      <alignment horizontal="center"/>
    </xf>
    <xf numFmtId="0" fontId="14" fillId="5" borderId="3" xfId="0" applyNumberFormat="1" applyFont="1" applyFill="1" applyBorder="1"/>
    <xf numFmtId="0" fontId="14" fillId="5" borderId="3" xfId="0" applyFont="1" applyFill="1" applyBorder="1" applyAlignment="1">
      <alignment horizontal="center"/>
    </xf>
    <xf numFmtId="0" fontId="15" fillId="10" borderId="3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5" fillId="12" borderId="0" xfId="0" applyFont="1" applyFill="1" applyBorder="1"/>
    <xf numFmtId="0" fontId="15" fillId="12" borderId="0" xfId="0" applyFont="1" applyFill="1" applyBorder="1" applyAlignment="1">
      <alignment horizontal="right"/>
    </xf>
    <xf numFmtId="0" fontId="6" fillId="5" borderId="0" xfId="0" applyFont="1" applyFill="1" applyProtection="1"/>
    <xf numFmtId="0" fontId="10" fillId="5" borderId="0" xfId="0" applyFont="1" applyFill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</xf>
    <xf numFmtId="0" fontId="6" fillId="5" borderId="5" xfId="0" applyFont="1" applyFill="1" applyBorder="1" applyProtection="1"/>
    <xf numFmtId="0" fontId="9" fillId="5" borderId="6" xfId="0" applyFont="1" applyFill="1" applyBorder="1" applyAlignment="1" applyProtection="1">
      <alignment horizontal="center" vertical="center"/>
    </xf>
    <xf numFmtId="0" fontId="6" fillId="5" borderId="7" xfId="0" applyFont="1" applyFill="1" applyBorder="1" applyProtection="1"/>
    <xf numFmtId="0" fontId="6" fillId="5" borderId="4" xfId="0" applyFont="1" applyFill="1" applyBorder="1" applyProtection="1"/>
    <xf numFmtId="0" fontId="6" fillId="5" borderId="8" xfId="0" applyFont="1" applyFill="1" applyBorder="1" applyProtection="1"/>
    <xf numFmtId="0" fontId="6" fillId="5" borderId="0" xfId="0" applyFont="1" applyFill="1" applyBorder="1" applyProtection="1"/>
    <xf numFmtId="0" fontId="7" fillId="5" borderId="0" xfId="0" applyFont="1" applyFill="1" applyBorder="1" applyProtection="1"/>
    <xf numFmtId="0" fontId="8" fillId="5" borderId="0" xfId="0" applyFont="1" applyFill="1" applyBorder="1" applyProtection="1"/>
    <xf numFmtId="0" fontId="12" fillId="5" borderId="0" xfId="0" applyFont="1" applyFill="1" applyBorder="1" applyProtection="1"/>
    <xf numFmtId="0" fontId="7" fillId="5" borderId="0" xfId="0" applyFont="1" applyFill="1" applyBorder="1" applyAlignment="1" applyProtection="1">
      <alignment horizontal="center" vertical="center" wrapText="1"/>
    </xf>
    <xf numFmtId="0" fontId="7" fillId="5" borderId="0" xfId="0" applyFont="1" applyFill="1" applyBorder="1" applyAlignment="1" applyProtection="1">
      <alignment horizontal="right" indent="1"/>
    </xf>
    <xf numFmtId="0" fontId="6" fillId="5" borderId="0" xfId="0" applyFont="1" applyFill="1" applyBorder="1" applyAlignment="1" applyProtection="1">
      <alignment horizontal="right" indent="1"/>
    </xf>
    <xf numFmtId="0" fontId="7" fillId="5" borderId="0" xfId="0" applyFont="1" applyFill="1" applyBorder="1" applyAlignment="1" applyProtection="1">
      <alignment horizontal="right"/>
    </xf>
    <xf numFmtId="0" fontId="6" fillId="5" borderId="9" xfId="0" applyFont="1" applyFill="1" applyBorder="1" applyProtection="1"/>
    <xf numFmtId="0" fontId="6" fillId="5" borderId="10" xfId="0" applyFont="1" applyFill="1" applyBorder="1" applyProtection="1"/>
    <xf numFmtId="0" fontId="6" fillId="5" borderId="11" xfId="0" applyFont="1" applyFill="1" applyBorder="1" applyProtection="1"/>
    <xf numFmtId="0" fontId="6" fillId="5" borderId="6" xfId="0" applyFont="1" applyFill="1" applyBorder="1" applyProtection="1"/>
    <xf numFmtId="0" fontId="11" fillId="5" borderId="0" xfId="0" applyFont="1" applyFill="1" applyBorder="1" applyAlignment="1" applyProtection="1">
      <alignment horizontal="center" vertical="center"/>
    </xf>
    <xf numFmtId="0" fontId="17" fillId="5" borderId="0" xfId="0" applyFont="1" applyFill="1" applyBorder="1" applyAlignment="1" applyProtection="1">
      <alignment horizontal="center"/>
    </xf>
    <xf numFmtId="164" fontId="6" fillId="6" borderId="3" xfId="0" applyNumberFormat="1" applyFont="1" applyFill="1" applyBorder="1" applyProtection="1">
      <protection locked="0"/>
    </xf>
    <xf numFmtId="168" fontId="6" fillId="6" borderId="3" xfId="0" applyNumberFormat="1" applyFont="1" applyFill="1" applyBorder="1" applyProtection="1">
      <protection locked="0"/>
    </xf>
    <xf numFmtId="164" fontId="6" fillId="5" borderId="0" xfId="0" applyNumberFormat="1" applyFont="1" applyFill="1" applyBorder="1" applyProtection="1">
      <protection locked="0"/>
    </xf>
    <xf numFmtId="0" fontId="6" fillId="6" borderId="12" xfId="0" applyFont="1" applyFill="1" applyBorder="1" applyProtection="1">
      <protection locked="0"/>
    </xf>
    <xf numFmtId="0" fontId="13" fillId="5" borderId="0" xfId="0" applyFont="1" applyFill="1" applyBorder="1" applyProtection="1">
      <protection locked="0"/>
    </xf>
    <xf numFmtId="0" fontId="22" fillId="6" borderId="12" xfId="0" applyFont="1" applyFill="1" applyBorder="1" applyProtection="1">
      <protection locked="0"/>
    </xf>
    <xf numFmtId="0" fontId="10" fillId="5" borderId="0" xfId="0" applyFont="1" applyFill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/>
    </xf>
    <xf numFmtId="0" fontId="21" fillId="6" borderId="3" xfId="0" applyFont="1" applyFill="1" applyBorder="1" applyAlignment="1" applyProtection="1">
      <alignment horizontal="left"/>
      <protection locked="0"/>
    </xf>
    <xf numFmtId="0" fontId="8" fillId="6" borderId="3" xfId="0" applyFont="1" applyFill="1" applyBorder="1" applyAlignment="1" applyProtection="1">
      <alignment horizontal="left"/>
      <protection locked="0"/>
    </xf>
    <xf numFmtId="0" fontId="23" fillId="5" borderId="16" xfId="0" applyFont="1" applyFill="1" applyBorder="1" applyAlignment="1" applyProtection="1">
      <alignment horizontal="left"/>
      <protection locked="0"/>
    </xf>
    <xf numFmtId="0" fontId="19" fillId="5" borderId="17" xfId="0" applyFont="1" applyFill="1" applyBorder="1" applyAlignment="1" applyProtection="1">
      <alignment horizontal="left"/>
      <protection locked="0"/>
    </xf>
    <xf numFmtId="0" fontId="22" fillId="6" borderId="3" xfId="0" applyFont="1" applyFill="1" applyBorder="1" applyAlignment="1" applyProtection="1">
      <alignment horizontal="left"/>
      <protection locked="0"/>
    </xf>
    <xf numFmtId="0" fontId="6" fillId="6" borderId="3" xfId="0" applyFont="1" applyFill="1" applyBorder="1" applyAlignment="1" applyProtection="1">
      <alignment horizontal="left"/>
      <protection locked="0"/>
    </xf>
    <xf numFmtId="0" fontId="6" fillId="5" borderId="0" xfId="0" applyFont="1" applyFill="1" applyAlignment="1" applyProtection="1">
      <alignment horizontal="left" vertical="center" wrapText="1"/>
    </xf>
    <xf numFmtId="0" fontId="11" fillId="5" borderId="0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left" vertical="center" wrapText="1"/>
    </xf>
    <xf numFmtId="0" fontId="20" fillId="5" borderId="13" xfId="0" applyFont="1" applyFill="1" applyBorder="1" applyAlignment="1" applyProtection="1">
      <alignment horizontal="center" vertical="center"/>
    </xf>
    <xf numFmtId="0" fontId="20" fillId="5" borderId="14" xfId="0" applyFont="1" applyFill="1" applyBorder="1" applyAlignment="1" applyProtection="1">
      <alignment horizontal="center" vertical="center"/>
    </xf>
    <xf numFmtId="0" fontId="20" fillId="5" borderId="15" xfId="0" applyFont="1" applyFill="1" applyBorder="1" applyAlignment="1" applyProtection="1">
      <alignment horizontal="center" vertical="center"/>
    </xf>
    <xf numFmtId="0" fontId="8" fillId="5" borderId="0" xfId="0" applyFont="1" applyFill="1" applyBorder="1" applyAlignment="1" applyProtection="1">
      <alignment horizontal="left" vertical="center" wrapText="1"/>
    </xf>
    <xf numFmtId="0" fontId="7" fillId="5" borderId="0" xfId="0" applyFont="1" applyFill="1" applyBorder="1" applyAlignment="1" applyProtection="1">
      <alignment horizontal="right" indent="1"/>
    </xf>
    <xf numFmtId="0" fontId="2" fillId="0" borderId="1" xfId="1" applyFont="1" applyFill="1" applyBorder="1" applyAlignment="1">
      <alignment horizontal="center" vertical="center" wrapText="1"/>
    </xf>
    <xf numFmtId="0" fontId="1" fillId="0" borderId="2" xfId="1" applyBorder="1" applyAlignment="1">
      <alignment horizontal="center" vertical="center" wrapText="1"/>
    </xf>
    <xf numFmtId="0" fontId="2" fillId="0" borderId="3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18">
    <dxf>
      <font>
        <color theme="1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theme="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finance.yahoo.com/" TargetMode="External"/><Relationship Id="rId2" Type="http://schemas.openxmlformats.org/officeDocument/2006/relationships/hyperlink" Target="mailto:compensationservices@kornferry.com" TargetMode="External"/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152400</xdr:colOff>
      <xdr:row>0</xdr:row>
      <xdr:rowOff>88900</xdr:rowOff>
    </xdr:from>
    <xdr:to>
      <xdr:col>6</xdr:col>
      <xdr:colOff>25400</xdr:colOff>
      <xdr:row>1</xdr:row>
      <xdr:rowOff>139700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92800" y="88900"/>
          <a:ext cx="2362200" cy="5715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</xdr:row>
      <xdr:rowOff>2032000</xdr:rowOff>
    </xdr:from>
    <xdr:to>
      <xdr:col>6</xdr:col>
      <xdr:colOff>2540</xdr:colOff>
      <xdr:row>4</xdr:row>
      <xdr:rowOff>2628900</xdr:rowOff>
    </xdr:to>
    <xdr:sp macro="" textlink="">
      <xdr:nvSpPr>
        <xdr:cNvPr id="2" name="Rectangle 1">
          <a:hlinkClick xmlns:r="http://schemas.openxmlformats.org/officeDocument/2006/relationships" r:id="rId2"/>
        </xdr:cNvPr>
        <xdr:cNvSpPr/>
      </xdr:nvSpPr>
      <xdr:spPr>
        <a:xfrm>
          <a:off x="139700" y="3492500"/>
          <a:ext cx="8092440" cy="5969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r>
            <a:rPr lang="en-US" sz="1200" b="1" i="1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4).  Once complete, please hit the save button at the top to automatically save the worksheet and email it to </a:t>
          </a:r>
          <a:r>
            <a:rPr lang="en-US" sz="1200" b="1" i="1" u="sng" baseline="0">
              <a:solidFill>
                <a:schemeClr val="accent5"/>
              </a:solidFill>
              <a:latin typeface="Arial" charset="0"/>
              <a:ea typeface="Arial" charset="0"/>
              <a:cs typeface="Arial" charset="0"/>
            </a:rPr>
            <a:t>compensationservices@kornferry.com</a:t>
          </a:r>
        </a:p>
      </xdr:txBody>
    </xdr:sp>
    <xdr:clientData/>
  </xdr:twoCellAnchor>
  <xdr:twoCellAnchor>
    <xdr:from>
      <xdr:col>1</xdr:col>
      <xdr:colOff>0</xdr:colOff>
      <xdr:row>3</xdr:row>
      <xdr:rowOff>101600</xdr:rowOff>
    </xdr:from>
    <xdr:to>
      <xdr:col>6</xdr:col>
      <xdr:colOff>0</xdr:colOff>
      <xdr:row>4</xdr:row>
      <xdr:rowOff>1943100</xdr:rowOff>
    </xdr:to>
    <xdr:sp macro="" textlink="">
      <xdr:nvSpPr>
        <xdr:cNvPr id="7" name="Rectangle 6">
          <a:hlinkClick xmlns:r="http://schemas.openxmlformats.org/officeDocument/2006/relationships" r:id="rId3"/>
        </xdr:cNvPr>
        <xdr:cNvSpPr/>
      </xdr:nvSpPr>
      <xdr:spPr>
        <a:xfrm>
          <a:off x="139700" y="1270000"/>
          <a:ext cx="8089900" cy="21336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 i="1" u="sng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Instructions:</a:t>
          </a:r>
        </a:p>
        <a:p>
          <a:pPr algn="l"/>
          <a:endParaRPr lang="en-US" sz="1200" b="1" i="1">
            <a:solidFill>
              <a:schemeClr val="tx1"/>
            </a:solidFill>
            <a:latin typeface="Arial" charset="0"/>
            <a:ea typeface="Arial" charset="0"/>
            <a:cs typeface="Arial" charset="0"/>
          </a:endParaRPr>
        </a:p>
        <a:p>
          <a:pPr marL="0" indent="0" algn="l">
            <a:buFontTx/>
            <a:buNone/>
          </a:pPr>
          <a:r>
            <a:rPr lang="en-US" sz="1200" b="1" i="1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1).  Complete Section</a:t>
          </a:r>
          <a:r>
            <a:rPr lang="en-US" sz="1200" b="1" i="1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 1 below with all requested company demographic data.  If the position is within a subsidiary or business unit of a larger parent company you will need to provide the demographic data for the parent company in addition to the revenue for the subsidiary.</a:t>
          </a:r>
        </a:p>
        <a:p>
          <a:pPr marL="0" indent="0" algn="l">
            <a:buFontTx/>
            <a:buNone/>
          </a:pPr>
          <a:endParaRPr lang="en-US" sz="1200" b="1" i="1" baseline="0">
            <a:solidFill>
              <a:schemeClr val="tx1"/>
            </a:solidFill>
            <a:latin typeface="Arial" charset="0"/>
            <a:ea typeface="Arial" charset="0"/>
            <a:cs typeface="Arial" charset="0"/>
          </a:endParaRPr>
        </a:p>
        <a:p>
          <a:pPr marL="0" indent="0" algn="l">
            <a:buFontTx/>
            <a:buNone/>
          </a:pPr>
          <a:r>
            <a:rPr lang="en-US" sz="1200" b="1" i="1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Note that a good source of the company financial and demographic data is </a:t>
          </a:r>
          <a:r>
            <a:rPr lang="en-US" sz="1200" b="1" i="1" u="sng" baseline="0">
              <a:solidFill>
                <a:schemeClr val="accent5"/>
              </a:solidFill>
              <a:latin typeface="Arial" charset="0"/>
              <a:ea typeface="Arial" charset="0"/>
              <a:cs typeface="Arial" charset="0"/>
            </a:rPr>
            <a:t>finance.yahoo.com</a:t>
          </a:r>
        </a:p>
        <a:p>
          <a:pPr marL="342900" indent="-342900" algn="l">
            <a:buFont typeface="+mj-lt"/>
            <a:buAutoNum type="arabicPeriod"/>
          </a:pPr>
          <a:endParaRPr lang="en-US" sz="1200" b="1" i="1" baseline="0">
            <a:solidFill>
              <a:schemeClr val="tx1"/>
            </a:solidFill>
            <a:latin typeface="Arial" charset="0"/>
            <a:ea typeface="Arial" charset="0"/>
            <a:cs typeface="Arial" charset="0"/>
          </a:endParaRPr>
        </a:p>
        <a:p>
          <a:pPr marL="0" indent="0" algn="l">
            <a:buFontTx/>
            <a:buNone/>
          </a:pPr>
          <a:r>
            <a:rPr lang="en-US" sz="1200" b="1" i="1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2).  Complete Section 2 below with information around the role and reporting structure.</a:t>
          </a:r>
        </a:p>
        <a:p>
          <a:pPr marL="342900" indent="-342900" algn="l">
            <a:buFont typeface="+mj-lt"/>
            <a:buAutoNum type="arabicPeriod"/>
          </a:pPr>
          <a:endParaRPr lang="en-US" sz="1200" b="1" i="1" baseline="0">
            <a:solidFill>
              <a:schemeClr val="tx1"/>
            </a:solidFill>
            <a:latin typeface="Arial" charset="0"/>
            <a:ea typeface="Arial" charset="0"/>
            <a:cs typeface="Arial" charset="0"/>
          </a:endParaRPr>
        </a:p>
        <a:p>
          <a:pPr marL="0" indent="0" algn="l">
            <a:buFontTx/>
            <a:buNone/>
          </a:pPr>
          <a:r>
            <a:rPr lang="en-US" sz="1200" b="1" i="1" baseline="0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3).  The Hay Group Reference Level for the position will appear after all needed inputs are entered.</a:t>
          </a:r>
          <a:endParaRPr lang="en-US" sz="1200" b="1" i="1">
            <a:solidFill>
              <a:schemeClr val="tx1"/>
            </a:solidFill>
            <a:latin typeface="Arial" charset="0"/>
            <a:ea typeface="Arial" charset="0"/>
            <a:cs typeface="Arial" charset="0"/>
          </a:endParaRPr>
        </a:p>
      </xdr:txBody>
    </xdr:sp>
    <xdr:clientData/>
  </xdr:twoCellAnchor>
  <xdr:twoCellAnchor>
    <xdr:from>
      <xdr:col>2</xdr:col>
      <xdr:colOff>76200</xdr:colOff>
      <xdr:row>0</xdr:row>
      <xdr:rowOff>165100</xdr:rowOff>
    </xdr:from>
    <xdr:to>
      <xdr:col>2</xdr:col>
      <xdr:colOff>1511300</xdr:colOff>
      <xdr:row>1</xdr:row>
      <xdr:rowOff>165100</xdr:rowOff>
    </xdr:to>
    <xdr:sp macro="[0]!CustomMailMessage" textlink="">
      <xdr:nvSpPr>
        <xdr:cNvPr id="8" name="Rounded Rectangle 7"/>
        <xdr:cNvSpPr/>
      </xdr:nvSpPr>
      <xdr:spPr>
        <a:xfrm>
          <a:off x="355600" y="165100"/>
          <a:ext cx="1435100" cy="5207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/>
              </a:solidFill>
              <a:latin typeface="Arial" charset="0"/>
              <a:ea typeface="Arial" charset="0"/>
              <a:cs typeface="Arial" charset="0"/>
            </a:rPr>
            <a:t>SAVE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B1:G61"/>
  <sheetViews>
    <sheetView tabSelected="1" workbookViewId="0">
      <selection activeCell="C3" sqref="C3:E3"/>
    </sheetView>
  </sheetViews>
  <sheetFormatPr defaultColWidth="10.875" defaultRowHeight="15" x14ac:dyDescent="0.2"/>
  <cols>
    <col min="1" max="2" width="1.875" style="59" customWidth="1"/>
    <col min="3" max="3" width="40.875" style="59" customWidth="1"/>
    <col min="4" max="5" width="30.875" style="59" customWidth="1"/>
    <col min="6" max="7" width="1.875" style="59" customWidth="1"/>
    <col min="8" max="16384" width="10.875" style="59"/>
  </cols>
  <sheetData>
    <row r="1" spans="2:6" ht="41.1" customHeight="1" x14ac:dyDescent="0.2"/>
    <row r="2" spans="2:6" ht="27.95" customHeight="1" x14ac:dyDescent="0.2"/>
    <row r="3" spans="2:6" ht="23.25" x14ac:dyDescent="0.2">
      <c r="C3" s="87" t="s">
        <v>336</v>
      </c>
      <c r="D3" s="87"/>
      <c r="E3" s="87"/>
    </row>
    <row r="4" spans="2:6" ht="23.25" x14ac:dyDescent="0.2">
      <c r="C4" s="60"/>
      <c r="D4" s="60"/>
      <c r="E4" s="60"/>
    </row>
    <row r="5" spans="2:6" ht="216.95" customHeight="1" x14ac:dyDescent="0.2">
      <c r="B5" s="95"/>
      <c r="C5" s="95"/>
      <c r="D5" s="95"/>
      <c r="E5" s="95"/>
      <c r="F5" s="95"/>
    </row>
    <row r="6" spans="2:6" ht="9" customHeight="1" thickBot="1" x14ac:dyDescent="0.25">
      <c r="C6" s="61"/>
      <c r="D6" s="61"/>
      <c r="E6" s="61"/>
    </row>
    <row r="7" spans="2:6" ht="9" customHeight="1" x14ac:dyDescent="0.2">
      <c r="B7" s="62"/>
      <c r="C7" s="63"/>
      <c r="D7" s="63"/>
      <c r="E7" s="63"/>
      <c r="F7" s="64"/>
    </row>
    <row r="8" spans="2:6" ht="18" x14ac:dyDescent="0.25">
      <c r="B8" s="65"/>
      <c r="C8" s="88" t="s">
        <v>329</v>
      </c>
      <c r="D8" s="88"/>
      <c r="E8" s="88"/>
      <c r="F8" s="66"/>
    </row>
    <row r="9" spans="2:6" ht="9" customHeight="1" x14ac:dyDescent="0.2">
      <c r="B9" s="65"/>
      <c r="C9" s="67"/>
      <c r="D9" s="67"/>
      <c r="E9" s="67"/>
      <c r="F9" s="66"/>
    </row>
    <row r="10" spans="2:6" ht="15.75" x14ac:dyDescent="0.25">
      <c r="B10" s="65"/>
      <c r="C10" s="68" t="s">
        <v>36</v>
      </c>
      <c r="D10" s="89" t="s">
        <v>335</v>
      </c>
      <c r="E10" s="90"/>
      <c r="F10" s="66"/>
    </row>
    <row r="11" spans="2:6" ht="9" customHeight="1" x14ac:dyDescent="0.2">
      <c r="B11" s="65"/>
      <c r="C11" s="67"/>
      <c r="D11" s="67"/>
      <c r="E11" s="67"/>
      <c r="F11" s="66"/>
    </row>
    <row r="12" spans="2:6" x14ac:dyDescent="0.2">
      <c r="B12" s="65"/>
      <c r="C12" s="69" t="s">
        <v>37</v>
      </c>
      <c r="D12" s="93" t="s">
        <v>42</v>
      </c>
      <c r="E12" s="94"/>
      <c r="F12" s="66"/>
    </row>
    <row r="13" spans="2:6" ht="9" customHeight="1" thickBot="1" x14ac:dyDescent="0.25">
      <c r="B13" s="65"/>
      <c r="C13" s="67"/>
      <c r="D13" s="67"/>
      <c r="E13" s="67"/>
      <c r="F13" s="66"/>
    </row>
    <row r="14" spans="2:6" ht="16.5" thickBot="1" x14ac:dyDescent="0.3">
      <c r="B14" s="65"/>
      <c r="C14" s="70" t="s">
        <v>38</v>
      </c>
      <c r="D14" s="91"/>
      <c r="E14" s="92"/>
      <c r="F14" s="66"/>
    </row>
    <row r="15" spans="2:6" ht="9" customHeight="1" x14ac:dyDescent="0.2">
      <c r="B15" s="65"/>
      <c r="C15" s="67"/>
      <c r="D15" s="67"/>
      <c r="E15" s="67"/>
      <c r="F15" s="66"/>
    </row>
    <row r="16" spans="2:6" ht="9" customHeight="1" x14ac:dyDescent="0.2">
      <c r="B16" s="65"/>
      <c r="C16" s="67"/>
      <c r="D16" s="67"/>
      <c r="E16" s="67"/>
      <c r="F16" s="66"/>
    </row>
    <row r="17" spans="2:6" ht="36" customHeight="1" x14ac:dyDescent="0.2">
      <c r="B17" s="65"/>
      <c r="C17" s="101" t="str">
        <f>IF(D12="No",CONCATENATE("Please provide the following demographic information for the parent company - ",D14," (all currency data in million USD):"),IF(D12="Yes",CONCATENATE("Please provide the following demographic information for ",D10," (all currency data in million USD):"),""))</f>
        <v>Please provide the following demographic information for Buffalo Wild Wing, Inc. (all currency data in million USD):</v>
      </c>
      <c r="D17" s="101"/>
      <c r="E17" s="101"/>
      <c r="F17" s="66"/>
    </row>
    <row r="18" spans="2:6" ht="9" customHeight="1" x14ac:dyDescent="0.2">
      <c r="B18" s="65"/>
      <c r="C18" s="67"/>
      <c r="D18" s="67"/>
      <c r="E18" s="67"/>
      <c r="F18" s="66"/>
    </row>
    <row r="19" spans="2:6" ht="15.75" x14ac:dyDescent="0.2">
      <c r="B19" s="65"/>
      <c r="C19" s="67"/>
      <c r="D19" s="71"/>
      <c r="E19" s="71" t="str">
        <f>IFERROR(IF(D12="Yes",TRIM(D10),IF(D12="No",TRIM(D14),"")),"")</f>
        <v>Buffalo Wild Wing, Inc.</v>
      </c>
      <c r="F19" s="66"/>
    </row>
    <row r="20" spans="2:6" ht="15.75" x14ac:dyDescent="0.25">
      <c r="B20" s="65"/>
      <c r="C20" s="102" t="s">
        <v>331</v>
      </c>
      <c r="D20" s="102"/>
      <c r="E20" s="81">
        <v>1516</v>
      </c>
      <c r="F20" s="66"/>
    </row>
    <row r="21" spans="2:6" ht="9" customHeight="1" x14ac:dyDescent="0.25">
      <c r="B21" s="65"/>
      <c r="C21" s="72"/>
      <c r="D21" s="73"/>
      <c r="E21" s="67"/>
      <c r="F21" s="66"/>
    </row>
    <row r="22" spans="2:6" ht="15.75" x14ac:dyDescent="0.25">
      <c r="B22" s="65"/>
      <c r="C22" s="102" t="s">
        <v>332</v>
      </c>
      <c r="D22" s="102"/>
      <c r="E22" s="81">
        <v>197</v>
      </c>
      <c r="F22" s="66"/>
    </row>
    <row r="23" spans="2:6" ht="9" customHeight="1" x14ac:dyDescent="0.25">
      <c r="B23" s="65"/>
      <c r="C23" s="72"/>
      <c r="D23" s="73"/>
      <c r="E23" s="67"/>
      <c r="F23" s="66"/>
    </row>
    <row r="24" spans="2:6" ht="15.75" x14ac:dyDescent="0.25">
      <c r="B24" s="65"/>
      <c r="C24" s="102" t="s">
        <v>333</v>
      </c>
      <c r="D24" s="102"/>
      <c r="E24" s="81">
        <v>2720</v>
      </c>
      <c r="F24" s="66"/>
    </row>
    <row r="25" spans="2:6" ht="9" customHeight="1" x14ac:dyDescent="0.25">
      <c r="B25" s="65"/>
      <c r="C25" s="72"/>
      <c r="D25" s="73"/>
      <c r="E25" s="67"/>
      <c r="F25" s="66"/>
    </row>
    <row r="26" spans="2:6" ht="15.75" x14ac:dyDescent="0.25">
      <c r="B26" s="65"/>
      <c r="C26" s="102" t="s">
        <v>45</v>
      </c>
      <c r="D26" s="102"/>
      <c r="E26" s="82">
        <v>6600</v>
      </c>
      <c r="F26" s="66"/>
    </row>
    <row r="27" spans="2:6" ht="9" customHeight="1" x14ac:dyDescent="0.25">
      <c r="B27" s="65"/>
      <c r="C27" s="72"/>
      <c r="D27" s="73"/>
      <c r="E27" s="67"/>
      <c r="F27" s="66"/>
    </row>
    <row r="28" spans="2:6" ht="15.75" x14ac:dyDescent="0.25">
      <c r="B28" s="65"/>
      <c r="C28" s="102" t="s">
        <v>39</v>
      </c>
      <c r="D28" s="102"/>
      <c r="E28" s="81" t="s">
        <v>78</v>
      </c>
      <c r="F28" s="66"/>
    </row>
    <row r="29" spans="2:6" ht="9" customHeight="1" x14ac:dyDescent="0.25">
      <c r="B29" s="65"/>
      <c r="C29" s="72"/>
      <c r="D29" s="73"/>
      <c r="E29" s="67"/>
      <c r="F29" s="66"/>
    </row>
    <row r="30" spans="2:6" ht="15.75" x14ac:dyDescent="0.25">
      <c r="B30" s="65"/>
      <c r="C30" s="102" t="s">
        <v>40</v>
      </c>
      <c r="D30" s="102"/>
      <c r="E30" s="81" t="s">
        <v>70</v>
      </c>
      <c r="F30" s="66"/>
    </row>
    <row r="31" spans="2:6" ht="9" customHeight="1" x14ac:dyDescent="0.25">
      <c r="B31" s="65"/>
      <c r="C31" s="72"/>
      <c r="D31" s="73"/>
      <c r="E31" s="67"/>
      <c r="F31" s="66"/>
    </row>
    <row r="32" spans="2:6" ht="15.75" x14ac:dyDescent="0.25">
      <c r="B32" s="65"/>
      <c r="C32" s="102" t="s">
        <v>41</v>
      </c>
      <c r="D32" s="102"/>
      <c r="E32" s="81" t="s">
        <v>82</v>
      </c>
      <c r="F32" s="66"/>
    </row>
    <row r="33" spans="2:7" ht="15.75" x14ac:dyDescent="0.25">
      <c r="B33" s="65"/>
      <c r="C33" s="74"/>
      <c r="D33" s="67"/>
      <c r="E33" s="67"/>
      <c r="F33" s="66"/>
    </row>
    <row r="34" spans="2:7" ht="36" customHeight="1" x14ac:dyDescent="0.2">
      <c r="B34" s="65"/>
      <c r="C34" s="101" t="str">
        <f>IF(D12="No",CONCATENATE("Please provide the Total Revenue for ",D10,":"),"")</f>
        <v/>
      </c>
      <c r="D34" s="101"/>
      <c r="E34" s="101"/>
      <c r="F34" s="66"/>
    </row>
    <row r="35" spans="2:7" ht="15.75" x14ac:dyDescent="0.25">
      <c r="B35" s="65"/>
      <c r="C35" s="74"/>
      <c r="D35" s="74" t="str">
        <f>IF(C34&lt;&gt;"",CONCATENATE(D10," Revenue ($m):"),"")</f>
        <v/>
      </c>
      <c r="E35" s="83"/>
      <c r="F35" s="66"/>
    </row>
    <row r="36" spans="2:7" ht="15.75" x14ac:dyDescent="0.25">
      <c r="B36" s="65"/>
      <c r="C36" s="74"/>
      <c r="D36" s="74"/>
      <c r="E36" s="67"/>
      <c r="F36" s="66"/>
    </row>
    <row r="37" spans="2:7" ht="9" customHeight="1" thickBot="1" x14ac:dyDescent="0.25">
      <c r="B37" s="75"/>
      <c r="C37" s="76"/>
      <c r="D37" s="76"/>
      <c r="E37" s="76"/>
      <c r="F37" s="77"/>
    </row>
    <row r="38" spans="2:7" ht="9" customHeight="1" thickBot="1" x14ac:dyDescent="0.25"/>
    <row r="39" spans="2:7" ht="9" customHeight="1" x14ac:dyDescent="0.2">
      <c r="B39" s="62"/>
      <c r="C39" s="78"/>
      <c r="D39" s="78"/>
      <c r="E39" s="78"/>
      <c r="F39" s="64"/>
      <c r="G39" s="67"/>
    </row>
    <row r="40" spans="2:7" ht="18" x14ac:dyDescent="0.2">
      <c r="B40" s="65"/>
      <c r="C40" s="96" t="s">
        <v>330</v>
      </c>
      <c r="D40" s="96"/>
      <c r="E40" s="96"/>
      <c r="F40" s="66"/>
      <c r="G40" s="67"/>
    </row>
    <row r="41" spans="2:7" ht="9" customHeight="1" x14ac:dyDescent="0.2">
      <c r="B41" s="65"/>
      <c r="C41" s="79"/>
      <c r="D41" s="79"/>
      <c r="E41" s="79"/>
      <c r="F41" s="66"/>
      <c r="G41" s="67"/>
    </row>
    <row r="42" spans="2:7" ht="15.75" x14ac:dyDescent="0.25">
      <c r="B42" s="65"/>
      <c r="C42" s="69" t="s">
        <v>44</v>
      </c>
      <c r="D42" s="67"/>
      <c r="E42" s="80" t="s">
        <v>327</v>
      </c>
      <c r="F42" s="66"/>
      <c r="G42" s="67"/>
    </row>
    <row r="43" spans="2:7" ht="9" customHeight="1" thickBot="1" x14ac:dyDescent="0.25">
      <c r="B43" s="65"/>
      <c r="C43" s="67"/>
      <c r="D43" s="67"/>
      <c r="E43" s="67"/>
      <c r="F43" s="66"/>
      <c r="G43" s="67"/>
    </row>
    <row r="44" spans="2:7" ht="15.95" customHeight="1" thickTop="1" x14ac:dyDescent="0.25">
      <c r="B44" s="65"/>
      <c r="C44" s="74" t="s">
        <v>47</v>
      </c>
      <c r="D44" s="86" t="s">
        <v>112</v>
      </c>
      <c r="E44" s="98">
        <f>IFERROR(CALCULATIONS!N19,"")</f>
        <v>26</v>
      </c>
      <c r="F44" s="66"/>
      <c r="G44" s="67"/>
    </row>
    <row r="45" spans="2:7" ht="9" customHeight="1" x14ac:dyDescent="0.2">
      <c r="B45" s="65"/>
      <c r="C45" s="67"/>
      <c r="D45" s="67"/>
      <c r="E45" s="99"/>
      <c r="F45" s="66"/>
      <c r="G45" s="67"/>
    </row>
    <row r="46" spans="2:7" ht="15.95" customHeight="1" x14ac:dyDescent="0.25">
      <c r="B46" s="65"/>
      <c r="C46" s="74" t="s">
        <v>46</v>
      </c>
      <c r="D46" s="86" t="s">
        <v>334</v>
      </c>
      <c r="E46" s="99"/>
      <c r="F46" s="66"/>
      <c r="G46" s="67"/>
    </row>
    <row r="47" spans="2:7" ht="9" customHeight="1" x14ac:dyDescent="0.2">
      <c r="B47" s="65"/>
      <c r="C47" s="67"/>
      <c r="D47" s="67"/>
      <c r="E47" s="99"/>
      <c r="F47" s="66"/>
      <c r="G47" s="67"/>
    </row>
    <row r="48" spans="2:7" ht="15.95" customHeight="1" x14ac:dyDescent="0.25">
      <c r="B48" s="65"/>
      <c r="C48" s="74" t="s">
        <v>48</v>
      </c>
      <c r="D48" s="84" t="s">
        <v>112</v>
      </c>
      <c r="E48" s="99"/>
      <c r="F48" s="66"/>
      <c r="G48" s="67"/>
    </row>
    <row r="49" spans="2:7" ht="9" customHeight="1" x14ac:dyDescent="0.2">
      <c r="B49" s="65"/>
      <c r="C49" s="67"/>
      <c r="D49" s="67"/>
      <c r="E49" s="99"/>
      <c r="F49" s="66"/>
      <c r="G49" s="67"/>
    </row>
    <row r="50" spans="2:7" ht="9" customHeight="1" x14ac:dyDescent="0.2">
      <c r="B50" s="65"/>
      <c r="C50" s="97" t="str">
        <f>IF(D12="No","How many reporting levels from the overall CEO is the head of the subsidiary?","")</f>
        <v/>
      </c>
      <c r="D50" s="97"/>
      <c r="E50" s="99"/>
      <c r="F50" s="66"/>
      <c r="G50" s="67"/>
    </row>
    <row r="51" spans="2:7" ht="9" customHeight="1" x14ac:dyDescent="0.2">
      <c r="B51" s="65"/>
      <c r="C51" s="97"/>
      <c r="D51" s="97"/>
      <c r="E51" s="99"/>
      <c r="F51" s="66"/>
      <c r="G51" s="67"/>
    </row>
    <row r="52" spans="2:7" ht="15.95" customHeight="1" x14ac:dyDescent="0.2">
      <c r="B52" s="65"/>
      <c r="C52" s="97"/>
      <c r="D52" s="97"/>
      <c r="E52" s="99"/>
      <c r="F52" s="66"/>
      <c r="G52" s="67"/>
    </row>
    <row r="53" spans="2:7" ht="15.95" customHeight="1" x14ac:dyDescent="0.2">
      <c r="B53" s="65"/>
      <c r="C53" s="97"/>
      <c r="D53" s="97"/>
      <c r="E53" s="99"/>
      <c r="F53" s="66"/>
      <c r="G53" s="67"/>
    </row>
    <row r="54" spans="2:7" ht="15.95" customHeight="1" x14ac:dyDescent="0.25">
      <c r="B54" s="65"/>
      <c r="C54" s="74"/>
      <c r="D54" s="85"/>
      <c r="E54" s="99"/>
      <c r="F54" s="66"/>
      <c r="G54" s="67"/>
    </row>
    <row r="55" spans="2:7" ht="9" customHeight="1" x14ac:dyDescent="0.2">
      <c r="B55" s="65"/>
      <c r="C55" s="97" t="str">
        <f>IF(D48="","",IF(D48="Chief Executive Officer","",IF(D12="No",CONCATENATE("How many reporting levels from the subsidiary head is the ",TRIM(D44),"?"),CONCATENATE("How many reporting levels from the CEO is the ",TRIM(D44),"?"))))</f>
        <v>How many reporting levels from the CEO is the Chief Financial Officer?</v>
      </c>
      <c r="D55" s="97"/>
      <c r="E55" s="99"/>
      <c r="F55" s="66"/>
      <c r="G55" s="67"/>
    </row>
    <row r="56" spans="2:7" ht="9" customHeight="1" x14ac:dyDescent="0.2">
      <c r="B56" s="65"/>
      <c r="C56" s="97"/>
      <c r="D56" s="97"/>
      <c r="E56" s="99"/>
      <c r="F56" s="66"/>
      <c r="G56" s="67"/>
    </row>
    <row r="57" spans="2:7" ht="15.95" customHeight="1" x14ac:dyDescent="0.2">
      <c r="B57" s="65"/>
      <c r="C57" s="97"/>
      <c r="D57" s="97"/>
      <c r="E57" s="99"/>
      <c r="F57" s="66"/>
      <c r="G57" s="67"/>
    </row>
    <row r="58" spans="2:7" x14ac:dyDescent="0.2">
      <c r="B58" s="65"/>
      <c r="C58" s="97"/>
      <c r="D58" s="97"/>
      <c r="E58" s="99"/>
      <c r="F58" s="66"/>
      <c r="G58" s="67"/>
    </row>
    <row r="59" spans="2:7" ht="16.5" thickBot="1" x14ac:dyDescent="0.3">
      <c r="B59" s="65"/>
      <c r="C59" s="74"/>
      <c r="D59" s="84" t="s">
        <v>220</v>
      </c>
      <c r="E59" s="100"/>
      <c r="F59" s="66"/>
      <c r="G59" s="67"/>
    </row>
    <row r="60" spans="2:7" ht="9" customHeight="1" thickTop="1" thickBot="1" x14ac:dyDescent="0.25">
      <c r="B60" s="75"/>
      <c r="C60" s="76"/>
      <c r="D60" s="76"/>
      <c r="E60" s="76"/>
      <c r="F60" s="77"/>
      <c r="G60" s="67"/>
    </row>
    <row r="61" spans="2:7" x14ac:dyDescent="0.2">
      <c r="B61" s="67"/>
      <c r="C61" s="67"/>
      <c r="D61" s="67"/>
      <c r="E61" s="67"/>
      <c r="F61" s="67"/>
      <c r="G61" s="67"/>
    </row>
  </sheetData>
  <sheetProtection algorithmName="SHA-512" hashValue="p/R1ve3wsgyuJ9h0QncfPypeADyQ+1UnZVQpRCkG/5rgiJQFl3is2AQGrXpSQ/zkEpg4JjcNE4/FM5VeJSGh1Q==" saltValue="wz/oH3u4o0J4jP9cJzgX8Q==" spinCount="100000" sheet="1" objects="1" scenarios="1"/>
  <mergeCells count="19">
    <mergeCell ref="C40:E40"/>
    <mergeCell ref="C50:D53"/>
    <mergeCell ref="C55:D58"/>
    <mergeCell ref="E44:E59"/>
    <mergeCell ref="C17:E17"/>
    <mergeCell ref="C20:D20"/>
    <mergeCell ref="C22:D22"/>
    <mergeCell ref="C24:D24"/>
    <mergeCell ref="C26:D26"/>
    <mergeCell ref="C28:D28"/>
    <mergeCell ref="C30:D30"/>
    <mergeCell ref="C32:D32"/>
    <mergeCell ref="C34:E34"/>
    <mergeCell ref="C3:E3"/>
    <mergeCell ref="C8:E8"/>
    <mergeCell ref="D10:E10"/>
    <mergeCell ref="D14:E14"/>
    <mergeCell ref="D12:E12"/>
    <mergeCell ref="B5:F5"/>
  </mergeCells>
  <phoneticPr fontId="18" type="noConversion"/>
  <conditionalFormatting sqref="C14">
    <cfRule type="expression" dxfId="17" priority="72">
      <formula>$D$12="No"</formula>
    </cfRule>
  </conditionalFormatting>
  <conditionalFormatting sqref="D14:E14">
    <cfRule type="expression" dxfId="16" priority="68">
      <formula>$D$14&lt;&gt;""</formula>
    </cfRule>
    <cfRule type="expression" dxfId="15" priority="71">
      <formula>$D$12="No"</formula>
    </cfRule>
  </conditionalFormatting>
  <conditionalFormatting sqref="D10:E10">
    <cfRule type="expression" dxfId="14" priority="70">
      <formula>$D$10&lt;&gt;""</formula>
    </cfRule>
  </conditionalFormatting>
  <conditionalFormatting sqref="D12:E12">
    <cfRule type="expression" dxfId="13" priority="69">
      <formula>$D$12&lt;&gt;""</formula>
    </cfRule>
  </conditionalFormatting>
  <conditionalFormatting sqref="D44">
    <cfRule type="expression" dxfId="12" priority="23">
      <formula>D44&lt;&gt;""</formula>
    </cfRule>
  </conditionalFormatting>
  <conditionalFormatting sqref="D46">
    <cfRule type="expression" dxfId="11" priority="22">
      <formula>D46&lt;&gt;""</formula>
    </cfRule>
  </conditionalFormatting>
  <conditionalFormatting sqref="D48">
    <cfRule type="expression" dxfId="10" priority="21">
      <formula>D48&lt;&gt;""</formula>
    </cfRule>
  </conditionalFormatting>
  <conditionalFormatting sqref="D54">
    <cfRule type="expression" dxfId="9" priority="12">
      <formula>$D$54&lt;&gt;""</formula>
    </cfRule>
    <cfRule type="expression" dxfId="8" priority="14">
      <formula>$D$12="No"</formula>
    </cfRule>
  </conditionalFormatting>
  <conditionalFormatting sqref="D59">
    <cfRule type="expression" dxfId="7" priority="7">
      <formula>$D$48=""</formula>
    </cfRule>
    <cfRule type="expression" dxfId="6" priority="8">
      <formula>$D$48="Chief Executive Officer"</formula>
    </cfRule>
    <cfRule type="expression" dxfId="5" priority="9">
      <formula>$D$59&lt;&gt;""</formula>
    </cfRule>
  </conditionalFormatting>
  <conditionalFormatting sqref="E44:E59">
    <cfRule type="expression" dxfId="4" priority="11">
      <formula>$E$44&lt;&gt;""</formula>
    </cfRule>
  </conditionalFormatting>
  <conditionalFormatting sqref="E20">
    <cfRule type="expression" dxfId="3" priority="6">
      <formula>E20&lt;&gt;""</formula>
    </cfRule>
  </conditionalFormatting>
  <conditionalFormatting sqref="E32 E30 E28 E26 E24 E22">
    <cfRule type="expression" dxfId="2" priority="4">
      <formula>E22&lt;&gt;""</formula>
    </cfRule>
  </conditionalFormatting>
  <conditionalFormatting sqref="E35">
    <cfRule type="expression" dxfId="1" priority="2" stopIfTrue="1">
      <formula>$E$35&lt;&gt;""</formula>
    </cfRule>
    <cfRule type="expression" dxfId="0" priority="3">
      <formula>$D$12="No"</formula>
    </cfRule>
  </conditionalFormatting>
  <dataValidations count="11">
    <dataValidation type="list" showErrorMessage="1" errorTitle="Invalid Response" error="Please select &quot;Yes&quot; or &quot;No&quot; to identify if this is the overall parent company." sqref="D12:E12">
      <formula1>YesNo</formula1>
    </dataValidation>
    <dataValidation type="whole" allowBlank="1" showInputMessage="1" showErrorMessage="1" errorTitle="Invalid Revenue" error="Please enter total revenue in whole USD - must be between $50 million and $500 billion" sqref="E35">
      <formula1>50</formula1>
      <formula2>500000</formula2>
    </dataValidation>
    <dataValidation type="whole" allowBlank="1" showInputMessage="1" showErrorMessage="1" errorTitle="Invalid Assets" error="Please enter total assets in million USD - must be between $50 million and $10 trillion" sqref="E22">
      <formula1>50</formula1>
      <formula2>10000000</formula2>
    </dataValidation>
    <dataValidation type="whole" allowBlank="1" showInputMessage="1" showErrorMessage="1" errorTitle="Invalid Market Cap" error="Please enter market cap in million USD - must be between $50 million and $500 billion" sqref="E24">
      <formula1>50</formula1>
      <formula2>500000</formula2>
    </dataValidation>
    <dataValidation type="whole" allowBlank="1" showInputMessage="1" showErrorMessage="1" errorTitle="Invalid Employees" error="Please enter the total number of employees in whole numbers - must be between 100 and 1,000,000" sqref="E26">
      <formula1>100</formula1>
      <formula2>1000000</formula2>
    </dataValidation>
    <dataValidation type="list" showInputMessage="1" showErrorMessage="1" errorTitle="Invalid Sector" error="Please select a sector of operations from the list" sqref="E30">
      <formula1>Sector</formula1>
    </dataValidation>
    <dataValidation type="list" showInputMessage="1" showErrorMessage="1" errorTitle="Invalid Ownership" error="Please select a the company ownership from the list" sqref="E28">
      <formula1>Ownership</formula1>
    </dataValidation>
    <dataValidation type="list" showInputMessage="1" showErrorMessage="1" errorTitle="Invalid Internationalization" error="Please identify the company's degree of internationalization by selecting one of the ranges from the list" sqref="E32">
      <formula1>Internationalization</formula1>
    </dataValidation>
    <dataValidation type="list" showInputMessage="1" showErrorMessage="1" errorTitle="Invalid Job Match" error="Please select the job that best matches_x000a_" sqref="D48">
      <formula1>JobTitle</formula1>
    </dataValidation>
    <dataValidation type="list" showInputMessage="1" showErrorMessage="1" errorTitle="Invalid Reporting Level" error="Please identify how many reporting levels the position is from the overall CEO or subsidiary head" sqref="D54 D59">
      <formula1>ReportingLevel</formula1>
    </dataValidation>
    <dataValidation type="whole" allowBlank="1" showInputMessage="1" showErrorMessage="1" errorTitle="Invalid Revenue" error="Please enter total revenue in million USD - must be between $50 million and $500 billion" sqref="E20">
      <formula1>50</formula1>
      <formula2>500000</formula2>
    </dataValidation>
  </dataValidations>
  <printOptions horizontalCentered="1"/>
  <pageMargins left="0.5" right="0.5" top="0.5" bottom="0.5" header="0.3" footer="0.3"/>
  <pageSetup scale="81" orientation="portrait" verticalDpi="0" r:id="rId1"/>
  <headerFooter>
    <oddFooter>&amp;LKorn Ferry Hay Group&amp;RConfidential &amp; Proprietary</oddFooter>
  </headerFooter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A2" sqref="A2"/>
    </sheetView>
  </sheetViews>
  <sheetFormatPr defaultColWidth="8.875" defaultRowHeight="15" x14ac:dyDescent="0.25"/>
  <cols>
    <col min="1" max="15" width="12.875" style="8" customWidth="1"/>
    <col min="16" max="16384" width="8.875" style="8"/>
  </cols>
  <sheetData>
    <row r="1" spans="1:15" s="1" customFormat="1" x14ac:dyDescent="0.2">
      <c r="A1" s="103" t="s">
        <v>0</v>
      </c>
      <c r="B1" s="103"/>
      <c r="C1" s="103"/>
      <c r="D1" s="103"/>
      <c r="E1" s="103"/>
      <c r="F1" s="103"/>
      <c r="G1" s="104"/>
      <c r="H1" s="105" t="s">
        <v>1</v>
      </c>
      <c r="I1" s="105"/>
      <c r="J1" s="105"/>
      <c r="K1" s="105"/>
      <c r="L1" s="105"/>
      <c r="M1" s="105" t="s">
        <v>2</v>
      </c>
      <c r="N1" s="105"/>
      <c r="O1" s="105"/>
    </row>
    <row r="2" spans="1:15" s="1" customFormat="1" ht="38.25" x14ac:dyDescent="0.2">
      <c r="A2" s="2" t="s">
        <v>3</v>
      </c>
      <c r="B2" s="3" t="s">
        <v>4</v>
      </c>
      <c r="C2" s="2" t="s">
        <v>5</v>
      </c>
      <c r="D2" s="4" t="s">
        <v>6</v>
      </c>
      <c r="E2" s="3" t="s">
        <v>7</v>
      </c>
      <c r="F2" s="3" t="s">
        <v>8</v>
      </c>
      <c r="G2" s="5" t="s">
        <v>9</v>
      </c>
      <c r="H2" s="6" t="s">
        <v>10</v>
      </c>
      <c r="I2" s="6" t="s">
        <v>11</v>
      </c>
      <c r="J2" s="6" t="s">
        <v>12</v>
      </c>
      <c r="K2" s="7" t="s">
        <v>13</v>
      </c>
      <c r="L2" s="7" t="s">
        <v>14</v>
      </c>
      <c r="M2" s="6" t="s">
        <v>15</v>
      </c>
      <c r="N2" s="6" t="s">
        <v>16</v>
      </c>
      <c r="O2" s="6" t="s">
        <v>17</v>
      </c>
    </row>
    <row r="4" spans="1:15" x14ac:dyDescent="0.25">
      <c r="C4" s="9"/>
    </row>
    <row r="5" spans="1:15" x14ac:dyDescent="0.25">
      <c r="A5" s="8" t="s">
        <v>18</v>
      </c>
    </row>
    <row r="6" spans="1:15" ht="15.75" x14ac:dyDescent="0.25">
      <c r="A6" s="8" t="s">
        <v>19</v>
      </c>
    </row>
    <row r="7" spans="1:15" x14ac:dyDescent="0.25">
      <c r="A7" s="10" t="s">
        <v>20</v>
      </c>
    </row>
    <row r="8" spans="1:15" x14ac:dyDescent="0.25">
      <c r="A8" s="10" t="s">
        <v>21</v>
      </c>
    </row>
    <row r="9" spans="1:15" x14ac:dyDescent="0.25">
      <c r="A9" s="10"/>
      <c r="B9" s="11" t="s">
        <v>22</v>
      </c>
      <c r="C9" s="11"/>
    </row>
    <row r="10" spans="1:15" x14ac:dyDescent="0.25">
      <c r="A10" s="10"/>
      <c r="B10" s="12" t="s">
        <v>23</v>
      </c>
      <c r="C10" s="12"/>
    </row>
    <row r="11" spans="1:15" x14ac:dyDescent="0.25">
      <c r="A11" s="10"/>
      <c r="B11" s="13" t="s">
        <v>24</v>
      </c>
      <c r="C11" s="13"/>
    </row>
    <row r="12" spans="1:15" x14ac:dyDescent="0.25">
      <c r="A12" s="10"/>
    </row>
    <row r="13" spans="1:15" x14ac:dyDescent="0.25">
      <c r="A13" s="10" t="s">
        <v>25</v>
      </c>
    </row>
    <row r="14" spans="1:15" x14ac:dyDescent="0.25">
      <c r="A14" s="10" t="s">
        <v>26</v>
      </c>
    </row>
    <row r="15" spans="1:15" x14ac:dyDescent="0.25">
      <c r="A15" s="10" t="s">
        <v>27</v>
      </c>
    </row>
    <row r="16" spans="1:15" x14ac:dyDescent="0.25">
      <c r="A16" s="10" t="s">
        <v>28</v>
      </c>
    </row>
    <row r="17" spans="1:2" x14ac:dyDescent="0.25">
      <c r="A17" s="10" t="s">
        <v>29</v>
      </c>
    </row>
    <row r="19" spans="1:2" x14ac:dyDescent="0.25">
      <c r="A19" s="8" t="s">
        <v>30</v>
      </c>
    </row>
    <row r="20" spans="1:2" x14ac:dyDescent="0.25">
      <c r="A20" s="8" t="s">
        <v>31</v>
      </c>
    </row>
    <row r="21" spans="1:2" x14ac:dyDescent="0.25">
      <c r="A21" s="8" t="s">
        <v>32</v>
      </c>
    </row>
    <row r="22" spans="1:2" x14ac:dyDescent="0.25">
      <c r="B22" s="8" t="s">
        <v>33</v>
      </c>
    </row>
    <row r="23" spans="1:2" x14ac:dyDescent="0.25">
      <c r="B23" s="8" t="s">
        <v>34</v>
      </c>
    </row>
    <row r="24" spans="1:2" x14ac:dyDescent="0.25">
      <c r="B24" s="8" t="s">
        <v>35</v>
      </c>
    </row>
  </sheetData>
  <mergeCells count="3">
    <mergeCell ref="A1:G1"/>
    <mergeCell ref="H1:L1"/>
    <mergeCell ref="M1:O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B1:AF43"/>
  <sheetViews>
    <sheetView workbookViewId="0">
      <selection activeCell="X25" sqref="X25"/>
    </sheetView>
  </sheetViews>
  <sheetFormatPr defaultColWidth="10.875" defaultRowHeight="12.75" x14ac:dyDescent="0.2"/>
  <cols>
    <col min="1" max="2" width="1.875" style="14" customWidth="1"/>
    <col min="3" max="3" width="6.375" style="14" bestFit="1" customWidth="1"/>
    <col min="4" max="4" width="2.125" style="14" bestFit="1" customWidth="1"/>
    <col min="5" max="7" width="1.875" style="14" customWidth="1"/>
    <col min="8" max="8" width="23.625" style="14" bestFit="1" customWidth="1"/>
    <col min="9" max="9" width="3.125" style="14" bestFit="1" customWidth="1"/>
    <col min="10" max="12" width="1.875" style="14" customWidth="1"/>
    <col min="13" max="13" width="21.5" style="14" bestFit="1" customWidth="1"/>
    <col min="14" max="14" width="2.125" style="14" bestFit="1" customWidth="1"/>
    <col min="15" max="17" width="1.875" style="14" customWidth="1"/>
    <col min="18" max="18" width="16.375" style="14" bestFit="1" customWidth="1"/>
    <col min="19" max="19" width="2.125" style="14" bestFit="1" customWidth="1"/>
    <col min="20" max="22" width="1.875" style="14" customWidth="1"/>
    <col min="23" max="23" width="37.375" style="14" bestFit="1" customWidth="1"/>
    <col min="24" max="25" width="37.375" style="14" customWidth="1"/>
    <col min="26" max="26" width="3.125" style="14" bestFit="1" customWidth="1"/>
    <col min="27" max="29" width="1.625" style="14" customWidth="1"/>
    <col min="30" max="30" width="13.125" style="14" bestFit="1" customWidth="1"/>
    <col min="31" max="31" width="2.125" style="14" bestFit="1" customWidth="1"/>
    <col min="32" max="34" width="1.625" style="14" customWidth="1"/>
    <col min="35" max="16384" width="10.875" style="14"/>
  </cols>
  <sheetData>
    <row r="1" spans="2:32" ht="13.5" thickBot="1" x14ac:dyDescent="0.25"/>
    <row r="2" spans="2:32" x14ac:dyDescent="0.2">
      <c r="B2" s="15"/>
      <c r="C2" s="16"/>
      <c r="D2" s="16"/>
      <c r="E2" s="17"/>
      <c r="G2" s="15"/>
      <c r="H2" s="16"/>
      <c r="I2" s="16"/>
      <c r="J2" s="17"/>
      <c r="L2" s="15"/>
      <c r="M2" s="16"/>
      <c r="N2" s="16"/>
      <c r="O2" s="17"/>
      <c r="Q2" s="15"/>
      <c r="R2" s="16"/>
      <c r="S2" s="16"/>
      <c r="T2" s="17"/>
      <c r="V2" s="15"/>
      <c r="W2" s="16"/>
      <c r="X2" s="16"/>
      <c r="Y2" s="16"/>
      <c r="Z2" s="16"/>
      <c r="AA2" s="17"/>
      <c r="AC2" s="15"/>
      <c r="AD2" s="16"/>
      <c r="AE2" s="16"/>
      <c r="AF2" s="17"/>
    </row>
    <row r="3" spans="2:32" x14ac:dyDescent="0.2">
      <c r="B3" s="18"/>
      <c r="C3" s="19" t="s">
        <v>49</v>
      </c>
      <c r="D3" s="20"/>
      <c r="E3" s="21"/>
      <c r="G3" s="18"/>
      <c r="H3" s="19" t="s">
        <v>50</v>
      </c>
      <c r="I3" s="20"/>
      <c r="J3" s="21"/>
      <c r="L3" s="18"/>
      <c r="M3" s="19" t="s">
        <v>80</v>
      </c>
      <c r="N3" s="20"/>
      <c r="O3" s="21"/>
      <c r="Q3" s="18"/>
      <c r="R3" s="19" t="s">
        <v>81</v>
      </c>
      <c r="S3" s="20"/>
      <c r="T3" s="21"/>
      <c r="V3" s="18"/>
      <c r="W3" s="31" t="s">
        <v>217</v>
      </c>
      <c r="X3" s="31" t="s">
        <v>307</v>
      </c>
      <c r="Y3" s="31" t="s">
        <v>308</v>
      </c>
      <c r="Z3" s="20"/>
      <c r="AA3" s="21"/>
      <c r="AC3" s="18"/>
      <c r="AD3" s="31" t="s">
        <v>219</v>
      </c>
      <c r="AE3" s="20"/>
      <c r="AF3" s="21"/>
    </row>
    <row r="4" spans="2:32" x14ac:dyDescent="0.2">
      <c r="B4" s="18"/>
      <c r="C4" s="22"/>
      <c r="D4" s="20">
        <v>1</v>
      </c>
      <c r="E4" s="21"/>
      <c r="G4" s="18"/>
      <c r="H4" s="22"/>
      <c r="I4" s="20">
        <v>1</v>
      </c>
      <c r="J4" s="21"/>
      <c r="L4" s="18"/>
      <c r="M4" s="22"/>
      <c r="N4" s="20">
        <v>1</v>
      </c>
      <c r="O4" s="21"/>
      <c r="Q4" s="18"/>
      <c r="R4" s="22"/>
      <c r="S4" s="20">
        <v>1</v>
      </c>
      <c r="T4" s="21"/>
      <c r="V4" s="18"/>
      <c r="W4" s="32"/>
      <c r="X4" s="32"/>
      <c r="Y4" s="32"/>
      <c r="Z4" s="20">
        <v>1</v>
      </c>
      <c r="AA4" s="21"/>
      <c r="AC4" s="18"/>
      <c r="AD4" s="32"/>
      <c r="AE4" s="20"/>
      <c r="AF4" s="21"/>
    </row>
    <row r="5" spans="2:32" x14ac:dyDescent="0.2">
      <c r="B5" s="18"/>
      <c r="C5" s="22" t="s">
        <v>42</v>
      </c>
      <c r="D5" s="20">
        <v>2</v>
      </c>
      <c r="E5" s="21"/>
      <c r="G5" s="18"/>
      <c r="H5" s="22" t="s">
        <v>51</v>
      </c>
      <c r="I5" s="20">
        <v>2</v>
      </c>
      <c r="J5" s="21"/>
      <c r="L5" s="18"/>
      <c r="M5" s="22" t="s">
        <v>74</v>
      </c>
      <c r="N5" s="20">
        <v>2</v>
      </c>
      <c r="O5" s="21"/>
      <c r="Q5" s="18"/>
      <c r="R5" s="22" t="s">
        <v>82</v>
      </c>
      <c r="S5" s="20">
        <v>2</v>
      </c>
      <c r="T5" s="21"/>
      <c r="V5" s="18"/>
      <c r="W5" s="32" t="str">
        <f>IF(CALCULATIONS!$D$7&lt;&gt;3,TRIM(DROPDOWNS!X5),TRIM(DROPDOWNS!Y5))</f>
        <v>Chief Executive Officer</v>
      </c>
      <c r="X5" s="32" t="s">
        <v>106</v>
      </c>
      <c r="Y5" s="32" t="s">
        <v>107</v>
      </c>
      <c r="Z5" s="20">
        <v>2</v>
      </c>
      <c r="AA5" s="21"/>
      <c r="AC5" s="18"/>
      <c r="AD5" s="32" t="s">
        <v>220</v>
      </c>
      <c r="AE5" s="20">
        <v>1</v>
      </c>
      <c r="AF5" s="21"/>
    </row>
    <row r="6" spans="2:32" x14ac:dyDescent="0.2">
      <c r="B6" s="18"/>
      <c r="C6" s="22" t="s">
        <v>43</v>
      </c>
      <c r="D6" s="20">
        <v>3</v>
      </c>
      <c r="E6" s="21"/>
      <c r="G6" s="18"/>
      <c r="H6" s="22" t="s">
        <v>52</v>
      </c>
      <c r="I6" s="20">
        <v>3</v>
      </c>
      <c r="J6" s="21"/>
      <c r="L6" s="18"/>
      <c r="M6" s="22" t="s">
        <v>75</v>
      </c>
      <c r="N6" s="20">
        <v>3</v>
      </c>
      <c r="O6" s="21"/>
      <c r="Q6" s="18"/>
      <c r="R6" s="22" t="s">
        <v>83</v>
      </c>
      <c r="S6" s="20">
        <v>3</v>
      </c>
      <c r="T6" s="21"/>
      <c r="V6" s="18"/>
      <c r="W6" s="32" t="str">
        <f>IF(CALCULATIONS!$D$7&lt;&gt;3,TRIM(DROPDOWNS!X6),TRIM(DROPDOWNS!Y6))</f>
        <v>Chief Operating Officer</v>
      </c>
      <c r="X6" s="32" t="s">
        <v>109</v>
      </c>
      <c r="Y6" s="32" t="s">
        <v>108</v>
      </c>
      <c r="Z6" s="20">
        <v>3</v>
      </c>
      <c r="AA6" s="21"/>
      <c r="AC6" s="18"/>
      <c r="AD6" s="32" t="s">
        <v>221</v>
      </c>
      <c r="AE6" s="20">
        <v>2</v>
      </c>
      <c r="AF6" s="21"/>
    </row>
    <row r="7" spans="2:32" ht="13.5" thickBot="1" x14ac:dyDescent="0.25">
      <c r="B7" s="23"/>
      <c r="C7" s="24"/>
      <c r="D7" s="24"/>
      <c r="E7" s="25"/>
      <c r="G7" s="18"/>
      <c r="H7" s="22" t="s">
        <v>53</v>
      </c>
      <c r="I7" s="20">
        <v>4</v>
      </c>
      <c r="J7" s="21"/>
      <c r="L7" s="18"/>
      <c r="M7" s="22" t="s">
        <v>76</v>
      </c>
      <c r="N7" s="20">
        <v>4</v>
      </c>
      <c r="O7" s="21"/>
      <c r="Q7" s="18"/>
      <c r="R7" s="22" t="s">
        <v>84</v>
      </c>
      <c r="S7" s="20">
        <v>4</v>
      </c>
      <c r="T7" s="21"/>
      <c r="V7" s="18"/>
      <c r="W7" s="32" t="str">
        <f>IF(CALCULATIONS!$D$7&lt;&gt;3,TRIM(DROPDOWNS!X7),TRIM(DROPDOWNS!Y7))</f>
        <v>Chief Administrative Officer</v>
      </c>
      <c r="X7" s="32" t="s">
        <v>110</v>
      </c>
      <c r="Y7" s="32" t="s">
        <v>109</v>
      </c>
      <c r="Z7" s="20">
        <v>4</v>
      </c>
      <c r="AA7" s="21"/>
      <c r="AC7" s="18"/>
      <c r="AD7" s="32" t="s">
        <v>222</v>
      </c>
      <c r="AE7" s="20">
        <v>3</v>
      </c>
      <c r="AF7" s="21"/>
    </row>
    <row r="8" spans="2:32" x14ac:dyDescent="0.2">
      <c r="G8" s="18"/>
      <c r="H8" s="22" t="s">
        <v>54</v>
      </c>
      <c r="I8" s="20">
        <v>5</v>
      </c>
      <c r="J8" s="21"/>
      <c r="L8" s="18"/>
      <c r="M8" s="22" t="s">
        <v>66</v>
      </c>
      <c r="N8" s="20">
        <v>5</v>
      </c>
      <c r="O8" s="21"/>
      <c r="Q8" s="18"/>
      <c r="R8" s="22" t="s">
        <v>85</v>
      </c>
      <c r="S8" s="20">
        <v>5</v>
      </c>
      <c r="T8" s="21"/>
      <c r="V8" s="18"/>
      <c r="W8" s="32" t="str">
        <f>IF(CALCULATIONS!$D$7&lt;&gt;3,TRIM(DROPDOWNS!X8),TRIM(DROPDOWNS!Y8))</f>
        <v>Head of Strategic Planning</v>
      </c>
      <c r="X8" s="32" t="s">
        <v>111</v>
      </c>
      <c r="Y8" s="32" t="s">
        <v>110</v>
      </c>
      <c r="Z8" s="20">
        <v>5</v>
      </c>
      <c r="AA8" s="21"/>
      <c r="AC8" s="18"/>
      <c r="AD8" s="32" t="s">
        <v>223</v>
      </c>
      <c r="AE8" s="20">
        <v>4</v>
      </c>
      <c r="AF8" s="21"/>
    </row>
    <row r="9" spans="2:32" ht="13.5" thickBot="1" x14ac:dyDescent="0.25">
      <c r="G9" s="18"/>
      <c r="H9" s="22" t="s">
        <v>55</v>
      </c>
      <c r="I9" s="20">
        <v>6</v>
      </c>
      <c r="J9" s="21"/>
      <c r="L9" s="18"/>
      <c r="M9" s="22" t="s">
        <v>77</v>
      </c>
      <c r="N9" s="20">
        <v>6</v>
      </c>
      <c r="O9" s="21"/>
      <c r="Q9" s="18"/>
      <c r="R9" s="22" t="s">
        <v>86</v>
      </c>
      <c r="S9" s="20">
        <v>6</v>
      </c>
      <c r="T9" s="21"/>
      <c r="V9" s="18"/>
      <c r="W9" s="32" t="str">
        <f>IF(CALCULATIONS!$D$7&lt;&gt;3,TRIM(DROPDOWNS!X9),TRIM(DROPDOWNS!Y9))</f>
        <v>Chief Financial Officer</v>
      </c>
      <c r="X9" s="32" t="s">
        <v>112</v>
      </c>
      <c r="Y9" s="32" t="s">
        <v>111</v>
      </c>
      <c r="Z9" s="20">
        <v>6</v>
      </c>
      <c r="AA9" s="21"/>
      <c r="AC9" s="23"/>
      <c r="AD9" s="24"/>
      <c r="AE9" s="24"/>
      <c r="AF9" s="25"/>
    </row>
    <row r="10" spans="2:32" ht="13.5" thickBot="1" x14ac:dyDescent="0.25">
      <c r="G10" s="18"/>
      <c r="H10" s="22" t="s">
        <v>56</v>
      </c>
      <c r="I10" s="20">
        <v>7</v>
      </c>
      <c r="J10" s="21"/>
      <c r="L10" s="18"/>
      <c r="M10" s="22" t="s">
        <v>78</v>
      </c>
      <c r="N10" s="20">
        <v>7</v>
      </c>
      <c r="O10" s="21"/>
      <c r="Q10" s="23"/>
      <c r="R10" s="24"/>
      <c r="S10" s="24"/>
      <c r="T10" s="25"/>
      <c r="V10" s="18"/>
      <c r="W10" s="32" t="str">
        <f>IF(CALCULATIONS!$D$7&lt;&gt;3,TRIM(DROPDOWNS!X10),TRIM(DROPDOWNS!Y10))</f>
        <v>Treasurer</v>
      </c>
      <c r="X10" s="32" t="s">
        <v>113</v>
      </c>
      <c r="Y10" s="32" t="s">
        <v>303</v>
      </c>
      <c r="Z10" s="20">
        <v>7</v>
      </c>
      <c r="AA10" s="21"/>
    </row>
    <row r="11" spans="2:32" x14ac:dyDescent="0.2">
      <c r="G11" s="18"/>
      <c r="H11" s="22" t="s">
        <v>57</v>
      </c>
      <c r="I11" s="20">
        <v>8</v>
      </c>
      <c r="J11" s="21"/>
      <c r="L11" s="18"/>
      <c r="M11" s="22" t="s">
        <v>79</v>
      </c>
      <c r="N11" s="20">
        <v>8</v>
      </c>
      <c r="O11" s="21"/>
      <c r="V11" s="18"/>
      <c r="W11" s="32" t="str">
        <f>IF(CALCULATIONS!$D$7&lt;&gt;3,TRIM(DROPDOWNS!X11),TRIM(DROPDOWNS!Y11))</f>
        <v>Controller</v>
      </c>
      <c r="X11" s="32" t="s">
        <v>114</v>
      </c>
      <c r="Y11" s="32" t="s">
        <v>113</v>
      </c>
      <c r="Z11" s="20">
        <v>8</v>
      </c>
      <c r="AA11" s="21"/>
    </row>
    <row r="12" spans="2:32" ht="13.5" thickBot="1" x14ac:dyDescent="0.25">
      <c r="G12" s="18"/>
      <c r="H12" s="22" t="s">
        <v>58</v>
      </c>
      <c r="I12" s="20">
        <v>9</v>
      </c>
      <c r="J12" s="21"/>
      <c r="L12" s="23"/>
      <c r="M12" s="24"/>
      <c r="N12" s="24"/>
      <c r="O12" s="25"/>
      <c r="V12" s="18"/>
      <c r="W12" s="32" t="str">
        <f>IF(CALCULATIONS!$D$7&lt;&gt;3,TRIM(DROPDOWNS!X12),TRIM(DROPDOWNS!Y12))</f>
        <v>Head of Internal Audit</v>
      </c>
      <c r="X12" s="32" t="s">
        <v>115</v>
      </c>
      <c r="Y12" s="32" t="s">
        <v>114</v>
      </c>
      <c r="Z12" s="20">
        <v>9</v>
      </c>
      <c r="AA12" s="21"/>
    </row>
    <row r="13" spans="2:32" x14ac:dyDescent="0.2">
      <c r="G13" s="18"/>
      <c r="H13" s="22" t="s">
        <v>59</v>
      </c>
      <c r="I13" s="20">
        <v>10</v>
      </c>
      <c r="J13" s="21"/>
      <c r="V13" s="18"/>
      <c r="W13" s="32" t="str">
        <f>IF(CALCULATIONS!$D$7&lt;&gt;3,TRIM(DROPDOWNS!X13),TRIM(DROPDOWNS!Y13))</f>
        <v>Head of Tax</v>
      </c>
      <c r="X13" s="32" t="s">
        <v>116</v>
      </c>
      <c r="Y13" s="32" t="s">
        <v>115</v>
      </c>
      <c r="Z13" s="20">
        <v>10</v>
      </c>
      <c r="AA13" s="21"/>
    </row>
    <row r="14" spans="2:32" x14ac:dyDescent="0.2">
      <c r="G14" s="18"/>
      <c r="H14" s="22" t="s">
        <v>60</v>
      </c>
      <c r="I14" s="20">
        <v>11</v>
      </c>
      <c r="J14" s="21"/>
      <c r="V14" s="18"/>
      <c r="W14" s="32" t="str">
        <f>IF(CALCULATIONS!$D$7&lt;&gt;3,TRIM(DROPDOWNS!X14),TRIM(DROPDOWNS!Y14))</f>
        <v>Head of Shareholder Relations</v>
      </c>
      <c r="X14" s="32" t="s">
        <v>117</v>
      </c>
      <c r="Y14" s="32" t="s">
        <v>116</v>
      </c>
      <c r="Z14" s="20">
        <v>11</v>
      </c>
      <c r="AA14" s="21"/>
    </row>
    <row r="15" spans="2:32" x14ac:dyDescent="0.2">
      <c r="G15" s="18"/>
      <c r="H15" s="22" t="s">
        <v>61</v>
      </c>
      <c r="I15" s="20">
        <v>12</v>
      </c>
      <c r="J15" s="21"/>
      <c r="V15" s="18"/>
      <c r="W15" s="32" t="str">
        <f>IF(CALCULATIONS!$D$7&lt;&gt;3,TRIM(DROPDOWNS!X15),TRIM(DROPDOWNS!Y15))</f>
        <v>Chief Information Officer</v>
      </c>
      <c r="X15" s="32" t="s">
        <v>118</v>
      </c>
      <c r="Y15" s="32" t="s">
        <v>119</v>
      </c>
      <c r="Z15" s="20">
        <v>12</v>
      </c>
      <c r="AA15" s="21"/>
    </row>
    <row r="16" spans="2:32" x14ac:dyDescent="0.2">
      <c r="G16" s="18"/>
      <c r="H16" s="22" t="s">
        <v>62</v>
      </c>
      <c r="I16" s="20">
        <v>13</v>
      </c>
      <c r="J16" s="21"/>
      <c r="V16" s="18"/>
      <c r="W16" s="32" t="str">
        <f>IF(CALCULATIONS!$D$7&lt;&gt;3,TRIM(DROPDOWNS!X16),TRIM(DROPDOWNS!Y16))</f>
        <v>Head of Information Technology</v>
      </c>
      <c r="X16" s="32" t="s">
        <v>119</v>
      </c>
      <c r="Y16" s="32" t="s">
        <v>120</v>
      </c>
      <c r="Z16" s="20">
        <v>13</v>
      </c>
      <c r="AA16" s="21"/>
    </row>
    <row r="17" spans="7:27" x14ac:dyDescent="0.2">
      <c r="G17" s="18"/>
      <c r="H17" s="22" t="s">
        <v>63</v>
      </c>
      <c r="I17" s="20">
        <v>14</v>
      </c>
      <c r="J17" s="21"/>
      <c r="V17" s="18"/>
      <c r="W17" s="32" t="str">
        <f>IF(CALCULATIONS!$D$7&lt;&gt;3,TRIM(DROPDOWNS!X17),TRIM(DROPDOWNS!Y17))</f>
        <v>Head of Human Resources</v>
      </c>
      <c r="X17" s="32" t="s">
        <v>120</v>
      </c>
      <c r="Y17" s="32" t="s">
        <v>121</v>
      </c>
      <c r="Z17" s="20">
        <v>14</v>
      </c>
      <c r="AA17" s="21"/>
    </row>
    <row r="18" spans="7:27" x14ac:dyDescent="0.2">
      <c r="G18" s="18"/>
      <c r="H18" s="22" t="s">
        <v>64</v>
      </c>
      <c r="I18" s="20">
        <v>15</v>
      </c>
      <c r="J18" s="21"/>
      <c r="V18" s="18"/>
      <c r="W18" s="32" t="str">
        <f>IF(CALCULATIONS!$D$7&lt;&gt;3,TRIM(DROPDOWNS!X18),TRIM(DROPDOWNS!Y18))</f>
        <v>Head of Training and Development</v>
      </c>
      <c r="X18" s="32" t="s">
        <v>121</v>
      </c>
      <c r="Y18" s="32" t="s">
        <v>304</v>
      </c>
      <c r="Z18" s="20">
        <v>15</v>
      </c>
      <c r="AA18" s="21"/>
    </row>
    <row r="19" spans="7:27" x14ac:dyDescent="0.2">
      <c r="G19" s="18"/>
      <c r="H19" s="22" t="s">
        <v>65</v>
      </c>
      <c r="I19" s="20">
        <v>16</v>
      </c>
      <c r="J19" s="21"/>
      <c r="V19" s="18"/>
      <c r="W19" s="32" t="str">
        <f>IF(CALCULATIONS!$D$7&lt;&gt;3,TRIM(DROPDOWNS!X19),TRIM(DROPDOWNS!Y19))</f>
        <v>Head of Compensation and Benefits</v>
      </c>
      <c r="X19" s="32" t="s">
        <v>122</v>
      </c>
      <c r="Y19" s="32" t="s">
        <v>123</v>
      </c>
      <c r="Z19" s="20">
        <v>16</v>
      </c>
      <c r="AA19" s="21"/>
    </row>
    <row r="20" spans="7:27" x14ac:dyDescent="0.2">
      <c r="G20" s="18"/>
      <c r="H20" s="22" t="s">
        <v>66</v>
      </c>
      <c r="I20" s="20">
        <v>17</v>
      </c>
      <c r="J20" s="21"/>
      <c r="V20" s="18"/>
      <c r="W20" s="32" t="str">
        <f>IF(CALCULATIONS!$D$7&lt;&gt;3,TRIM(DROPDOWNS!X20),TRIM(DROPDOWNS!Y20))</f>
        <v>Head of Recruiting</v>
      </c>
      <c r="X20" s="32" t="s">
        <v>123</v>
      </c>
      <c r="Y20" s="32" t="s">
        <v>124</v>
      </c>
      <c r="Z20" s="20">
        <v>17</v>
      </c>
      <c r="AA20" s="21"/>
    </row>
    <row r="21" spans="7:27" x14ac:dyDescent="0.2">
      <c r="G21" s="18"/>
      <c r="H21" s="22" t="s">
        <v>67</v>
      </c>
      <c r="I21" s="20">
        <v>18</v>
      </c>
      <c r="J21" s="21"/>
      <c r="V21" s="18"/>
      <c r="W21" s="32" t="str">
        <f>IF(CALCULATIONS!$D$7&lt;&gt;3,TRIM(DROPDOWNS!X21),TRIM(DROPDOWNS!Y21))</f>
        <v>Head of Organization Development</v>
      </c>
      <c r="X21" s="32" t="s">
        <v>124</v>
      </c>
      <c r="Y21" s="32" t="s">
        <v>125</v>
      </c>
      <c r="Z21" s="20">
        <v>18</v>
      </c>
      <c r="AA21" s="21"/>
    </row>
    <row r="22" spans="7:27" x14ac:dyDescent="0.2">
      <c r="G22" s="18"/>
      <c r="H22" s="22" t="s">
        <v>68</v>
      </c>
      <c r="I22" s="20">
        <v>19</v>
      </c>
      <c r="J22" s="21"/>
      <c r="V22" s="18"/>
      <c r="W22" s="32" t="str">
        <f>IF(CALCULATIONS!$D$7&lt;&gt;3,TRIM(DROPDOWNS!X22),TRIM(DROPDOWNS!Y22))</f>
        <v>Head of Labor Relations</v>
      </c>
      <c r="X22" s="32" t="s">
        <v>125</v>
      </c>
      <c r="Y22" s="32" t="s">
        <v>305</v>
      </c>
      <c r="Z22" s="20">
        <v>19</v>
      </c>
      <c r="AA22" s="21"/>
    </row>
    <row r="23" spans="7:27" x14ac:dyDescent="0.2">
      <c r="G23" s="18"/>
      <c r="H23" s="22" t="s">
        <v>69</v>
      </c>
      <c r="I23" s="20">
        <v>20</v>
      </c>
      <c r="J23" s="21"/>
      <c r="V23" s="18"/>
      <c r="W23" s="32" t="str">
        <f>IF(CALCULATIONS!$D$7&lt;&gt;3,TRIM(DROPDOWNS!X23),TRIM(DROPDOWNS!Y23))</f>
        <v>Head of Law/Legal Executive</v>
      </c>
      <c r="X23" s="32" t="s">
        <v>126</v>
      </c>
      <c r="Y23" s="32" t="s">
        <v>127</v>
      </c>
      <c r="Z23" s="20">
        <v>20</v>
      </c>
      <c r="AA23" s="21"/>
    </row>
    <row r="24" spans="7:27" x14ac:dyDescent="0.2">
      <c r="G24" s="18"/>
      <c r="H24" s="22" t="s">
        <v>70</v>
      </c>
      <c r="I24" s="20">
        <v>21</v>
      </c>
      <c r="J24" s="21"/>
      <c r="V24" s="18"/>
      <c r="W24" s="32" t="str">
        <f>IF(CALCULATIONS!$D$7&lt;&gt;3,TRIM(DROPDOWNS!X24),TRIM(DROPDOWNS!Y24))</f>
        <v>Head of Marketing</v>
      </c>
      <c r="X24" s="32" t="s">
        <v>127</v>
      </c>
      <c r="Y24" s="32" t="s">
        <v>128</v>
      </c>
      <c r="Z24" s="20">
        <v>21</v>
      </c>
      <c r="AA24" s="21"/>
    </row>
    <row r="25" spans="7:27" x14ac:dyDescent="0.2">
      <c r="G25" s="18"/>
      <c r="H25" s="22" t="s">
        <v>71</v>
      </c>
      <c r="I25" s="20">
        <v>22</v>
      </c>
      <c r="J25" s="21"/>
      <c r="V25" s="18"/>
      <c r="W25" s="32" t="str">
        <f>IF(CALCULATIONS!$D$7&lt;&gt;3,TRIM(DROPDOWNS!X25),TRIM(DROPDOWNS!Y25))</f>
        <v>Head of E-Commerce</v>
      </c>
      <c r="X25" s="32" t="s">
        <v>128</v>
      </c>
      <c r="Y25" s="32" t="s">
        <v>129</v>
      </c>
      <c r="Z25" s="20">
        <v>22</v>
      </c>
      <c r="AA25" s="21"/>
    </row>
    <row r="26" spans="7:27" x14ac:dyDescent="0.2">
      <c r="G26" s="18"/>
      <c r="H26" s="22" t="s">
        <v>72</v>
      </c>
      <c r="I26" s="20">
        <v>23</v>
      </c>
      <c r="J26" s="21"/>
      <c r="V26" s="18"/>
      <c r="W26" s="32" t="str">
        <f>IF(CALCULATIONS!$D$7&lt;&gt;3,TRIM(DROPDOWNS!X26),TRIM(DROPDOWNS!Y26))</f>
        <v>Head of Marketing and Sales</v>
      </c>
      <c r="X26" s="32" t="s">
        <v>129</v>
      </c>
      <c r="Y26" s="32" t="s">
        <v>130</v>
      </c>
      <c r="Z26" s="20">
        <v>23</v>
      </c>
      <c r="AA26" s="21"/>
    </row>
    <row r="27" spans="7:27" x14ac:dyDescent="0.2">
      <c r="G27" s="18"/>
      <c r="H27" s="22" t="s">
        <v>73</v>
      </c>
      <c r="I27" s="20">
        <v>24</v>
      </c>
      <c r="J27" s="21"/>
      <c r="V27" s="18"/>
      <c r="W27" s="32" t="str">
        <f>IF(CALCULATIONS!$D$7&lt;&gt;3,TRIM(DROPDOWNS!X27),TRIM(DROPDOWNS!Y27))</f>
        <v>Head of Sales</v>
      </c>
      <c r="X27" s="32" t="s">
        <v>130</v>
      </c>
      <c r="Y27" s="32" t="s">
        <v>131</v>
      </c>
      <c r="Z27" s="20">
        <v>24</v>
      </c>
      <c r="AA27" s="21"/>
    </row>
    <row r="28" spans="7:27" ht="13.5" thickBot="1" x14ac:dyDescent="0.25">
      <c r="G28" s="23"/>
      <c r="H28" s="24"/>
      <c r="I28" s="24"/>
      <c r="J28" s="25"/>
      <c r="V28" s="18"/>
      <c r="W28" s="32" t="str">
        <f>IF(CALCULATIONS!$D$7&lt;&gt;3,TRIM(DROPDOWNS!X28),TRIM(DROPDOWNS!Y28))</f>
        <v>Head of Research and Development</v>
      </c>
      <c r="X28" s="32" t="s">
        <v>131</v>
      </c>
      <c r="Y28" s="32" t="s">
        <v>132</v>
      </c>
      <c r="Z28" s="20">
        <v>25</v>
      </c>
      <c r="AA28" s="21"/>
    </row>
    <row r="29" spans="7:27" x14ac:dyDescent="0.2">
      <c r="V29" s="18"/>
      <c r="W29" s="32" t="str">
        <f>IF(CALCULATIONS!$D$7&lt;&gt;3,TRIM(DROPDOWNS!X29),TRIM(DROPDOWNS!Y29))</f>
        <v>Head of Engineering</v>
      </c>
      <c r="X29" s="32" t="s">
        <v>132</v>
      </c>
      <c r="Y29" s="32" t="s">
        <v>133</v>
      </c>
      <c r="Z29" s="20">
        <v>26</v>
      </c>
      <c r="AA29" s="21"/>
    </row>
    <row r="30" spans="7:27" x14ac:dyDescent="0.2">
      <c r="V30" s="18"/>
      <c r="W30" s="32" t="str">
        <f>IF(CALCULATIONS!$D$7&lt;&gt;3,TRIM(DROPDOWNS!X30),TRIM(DROPDOWNS!Y30))</f>
        <v>Head of Logistics/Supply Chain</v>
      </c>
      <c r="X30" s="32" t="s">
        <v>133</v>
      </c>
      <c r="Y30" s="32" t="s">
        <v>134</v>
      </c>
      <c r="Z30" s="20">
        <v>27</v>
      </c>
      <c r="AA30" s="21"/>
    </row>
    <row r="31" spans="7:27" x14ac:dyDescent="0.2">
      <c r="V31" s="18"/>
      <c r="W31" s="32" t="str">
        <f>IF(CALCULATIONS!$D$7&lt;&gt;3,TRIM(DROPDOWNS!X31),TRIM(DROPDOWNS!Y31))</f>
        <v>Head of Purchasing/Procurement</v>
      </c>
      <c r="X31" s="32" t="s">
        <v>134</v>
      </c>
      <c r="Y31" s="32" t="s">
        <v>135</v>
      </c>
      <c r="Z31" s="20">
        <v>28</v>
      </c>
      <c r="AA31" s="21"/>
    </row>
    <row r="32" spans="7:27" x14ac:dyDescent="0.2">
      <c r="V32" s="18"/>
      <c r="W32" s="32" t="str">
        <f>IF(CALCULATIONS!$D$7&lt;&gt;3,TRIM(DROPDOWNS!X32),TRIM(DROPDOWNS!Y32))</f>
        <v>Head of Materials</v>
      </c>
      <c r="X32" s="32" t="s">
        <v>135</v>
      </c>
      <c r="Y32" s="32" t="s">
        <v>136</v>
      </c>
      <c r="Z32" s="20">
        <v>29</v>
      </c>
      <c r="AA32" s="21"/>
    </row>
    <row r="33" spans="22:27" x14ac:dyDescent="0.2">
      <c r="V33" s="18"/>
      <c r="W33" s="32" t="str">
        <f>IF(CALCULATIONS!$D$7&lt;&gt;3,TRIM(DROPDOWNS!X33),TRIM(DROPDOWNS!Y33))</f>
        <v>Head of Distribution/Transportation</v>
      </c>
      <c r="X33" s="32" t="s">
        <v>136</v>
      </c>
      <c r="Y33" s="32" t="s">
        <v>137</v>
      </c>
      <c r="Z33" s="20">
        <v>30</v>
      </c>
      <c r="AA33" s="21"/>
    </row>
    <row r="34" spans="22:27" x14ac:dyDescent="0.2">
      <c r="V34" s="18"/>
      <c r="W34" s="32" t="str">
        <f>IF(CALCULATIONS!$D$7&lt;&gt;3,TRIM(DROPDOWNS!X34),TRIM(DROPDOWNS!Y34))</f>
        <v>Head of Property Development</v>
      </c>
      <c r="X34" s="32" t="s">
        <v>137</v>
      </c>
      <c r="Y34" s="32" t="s">
        <v>138</v>
      </c>
      <c r="Z34" s="20">
        <v>31</v>
      </c>
      <c r="AA34" s="21"/>
    </row>
    <row r="35" spans="22:27" x14ac:dyDescent="0.2">
      <c r="V35" s="18"/>
      <c r="W35" s="32" t="str">
        <f>IF(CALCULATIONS!$D$7&lt;&gt;3,TRIM(DROPDOWNS!X35),TRIM(DROPDOWNS!Y35))</f>
        <v>Head of Real Estate</v>
      </c>
      <c r="X35" s="32" t="s">
        <v>138</v>
      </c>
      <c r="Y35" s="32" t="s">
        <v>139</v>
      </c>
      <c r="Z35" s="20">
        <v>32</v>
      </c>
      <c r="AA35" s="21"/>
    </row>
    <row r="36" spans="22:27" x14ac:dyDescent="0.2">
      <c r="V36" s="18"/>
      <c r="W36" s="32" t="str">
        <f>IF(CALCULATIONS!$D$7&lt;&gt;3,TRIM(DROPDOWNS!X36),TRIM(DROPDOWNS!Y36))</f>
        <v>Head of Construction</v>
      </c>
      <c r="X36" s="32" t="s">
        <v>139</v>
      </c>
      <c r="Y36" s="32" t="s">
        <v>140</v>
      </c>
      <c r="Z36" s="20">
        <v>33</v>
      </c>
      <c r="AA36" s="21"/>
    </row>
    <row r="37" spans="22:27" x14ac:dyDescent="0.2">
      <c r="V37" s="18"/>
      <c r="W37" s="32" t="str">
        <f>IF(CALCULATIONS!$D$7&lt;&gt;3,TRIM(DROPDOWNS!X37),TRIM(DROPDOWNS!Y37))</f>
        <v>Head of Energy and Facility Management</v>
      </c>
      <c r="X37" s="32" t="s">
        <v>140</v>
      </c>
      <c r="Y37" s="32" t="s">
        <v>141</v>
      </c>
      <c r="Z37" s="20">
        <v>34</v>
      </c>
      <c r="AA37" s="21"/>
    </row>
    <row r="38" spans="22:27" x14ac:dyDescent="0.2">
      <c r="V38" s="18"/>
      <c r="W38" s="32" t="str">
        <f>IF(CALCULATIONS!$D$7&lt;&gt;3,TRIM(DROPDOWNS!X38),TRIM(DROPDOWNS!Y38))</f>
        <v>Head of Manufacturing</v>
      </c>
      <c r="X38" s="32" t="s">
        <v>141</v>
      </c>
      <c r="Y38" s="32" t="s">
        <v>142</v>
      </c>
      <c r="Z38" s="20">
        <v>35</v>
      </c>
      <c r="AA38" s="21"/>
    </row>
    <row r="39" spans="22:27" x14ac:dyDescent="0.2">
      <c r="V39" s="18"/>
      <c r="W39" s="32" t="str">
        <f>IF(CALCULATIONS!$D$7&lt;&gt;3,TRIM(DROPDOWNS!X39),TRIM(DROPDOWNS!Y39))</f>
        <v>Head of Operations (Non-Manufacturing)</v>
      </c>
      <c r="X39" s="32" t="s">
        <v>142</v>
      </c>
      <c r="Y39" s="32" t="s">
        <v>306</v>
      </c>
      <c r="Z39" s="20">
        <v>36</v>
      </c>
      <c r="AA39" s="21"/>
    </row>
    <row r="40" spans="22:27" x14ac:dyDescent="0.2">
      <c r="V40" s="18"/>
      <c r="W40" s="32" t="str">
        <f>IF(CALCULATIONS!$D$7&lt;&gt;3,TRIM(DROPDOWNS!X40),TRIM(DROPDOWNS!Y40))</f>
        <v>Head of Corporate Affairs</v>
      </c>
      <c r="X40" s="32" t="s">
        <v>143</v>
      </c>
      <c r="Y40" s="32"/>
      <c r="Z40" s="20">
        <v>37</v>
      </c>
      <c r="AA40" s="21"/>
    </row>
    <row r="41" spans="22:27" x14ac:dyDescent="0.2">
      <c r="V41" s="18"/>
      <c r="W41" s="32" t="str">
        <f>IF(CALCULATIONS!$D$7&lt;&gt;3,TRIM(DROPDOWNS!X41),TRIM(DROPDOWNS!Y41))</f>
        <v>Head of Quality Assurance/Quality Control</v>
      </c>
      <c r="X41" s="32" t="s">
        <v>144</v>
      </c>
      <c r="Y41" s="32"/>
      <c r="Z41" s="20">
        <v>38</v>
      </c>
      <c r="AA41" s="21"/>
    </row>
    <row r="42" spans="22:27" x14ac:dyDescent="0.2">
      <c r="V42" s="18"/>
      <c r="W42" s="32" t="str">
        <f>IF(CALCULATIONS!$D$7&lt;&gt;3,TRIM(DROPDOWNS!X42),TRIM(DROPDOWNS!Y42))</f>
        <v>Head of Health, Safety and Environmental Affairs</v>
      </c>
      <c r="X42" s="32" t="s">
        <v>145</v>
      </c>
      <c r="Y42" s="32"/>
      <c r="Z42" s="20">
        <v>39</v>
      </c>
      <c r="AA42" s="21"/>
    </row>
    <row r="43" spans="22:27" ht="13.5" thickBot="1" x14ac:dyDescent="0.25">
      <c r="V43" s="23"/>
      <c r="W43" s="24"/>
      <c r="X43" s="24"/>
      <c r="Y43" s="24"/>
      <c r="Z43" s="24"/>
      <c r="AA43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B1:I76"/>
  <sheetViews>
    <sheetView topLeftCell="A25" zoomScale="120" zoomScaleNormal="120" zoomScalePageLayoutView="120" workbookViewId="0">
      <selection activeCell="E56" sqref="E56"/>
    </sheetView>
  </sheetViews>
  <sheetFormatPr defaultColWidth="10.875" defaultRowHeight="12.75" x14ac:dyDescent="0.2"/>
  <cols>
    <col min="1" max="2" width="1.875" style="14" customWidth="1"/>
    <col min="3" max="3" width="8.875" style="14" bestFit="1" customWidth="1"/>
    <col min="4" max="4" width="23.625" style="14" bestFit="1" customWidth="1"/>
    <col min="5" max="7" width="12.625" style="14" bestFit="1" customWidth="1"/>
    <col min="8" max="8" width="6.125" style="14" bestFit="1" customWidth="1"/>
    <col min="9" max="9" width="1.875" style="14" customWidth="1"/>
    <col min="10" max="16384" width="10.875" style="14"/>
  </cols>
  <sheetData>
    <row r="1" spans="2:9" ht="13.5" thickBot="1" x14ac:dyDescent="0.25"/>
    <row r="2" spans="2:9" x14ac:dyDescent="0.2">
      <c r="B2" s="15"/>
      <c r="C2" s="16"/>
      <c r="D2" s="16"/>
      <c r="E2" s="16"/>
      <c r="F2" s="16"/>
      <c r="G2" s="16"/>
      <c r="H2" s="16"/>
      <c r="I2" s="17"/>
    </row>
    <row r="3" spans="2:9" x14ac:dyDescent="0.2">
      <c r="B3" s="18"/>
      <c r="C3" s="28" t="s">
        <v>239</v>
      </c>
      <c r="D3" s="20"/>
      <c r="E3" s="20"/>
      <c r="F3" s="20"/>
      <c r="G3" s="20"/>
      <c r="H3" s="20"/>
      <c r="I3" s="21"/>
    </row>
    <row r="4" spans="2:9" x14ac:dyDescent="0.2">
      <c r="B4" s="18"/>
      <c r="C4" s="20"/>
      <c r="D4" s="20"/>
      <c r="E4" s="20"/>
      <c r="F4" s="20"/>
      <c r="G4" s="20"/>
      <c r="H4" s="20"/>
      <c r="I4" s="21"/>
    </row>
    <row r="5" spans="2:9" x14ac:dyDescent="0.2">
      <c r="B5" s="18"/>
      <c r="C5" s="30" t="s">
        <v>218</v>
      </c>
      <c r="D5" s="30" t="s">
        <v>232</v>
      </c>
      <c r="E5" s="30" t="s">
        <v>235</v>
      </c>
      <c r="F5" s="30" t="s">
        <v>234</v>
      </c>
      <c r="G5" s="30" t="s">
        <v>233</v>
      </c>
      <c r="H5" s="30" t="s">
        <v>236</v>
      </c>
      <c r="I5" s="21"/>
    </row>
    <row r="6" spans="2:9" x14ac:dyDescent="0.2">
      <c r="B6" s="18"/>
      <c r="C6" s="26">
        <v>2</v>
      </c>
      <c r="D6" s="26" t="s">
        <v>51</v>
      </c>
      <c r="E6" s="33">
        <v>-1</v>
      </c>
      <c r="F6" s="33">
        <v>-1</v>
      </c>
      <c r="G6" s="33">
        <v>-0.5</v>
      </c>
      <c r="H6" s="33">
        <v>0</v>
      </c>
      <c r="I6" s="21"/>
    </row>
    <row r="7" spans="2:9" x14ac:dyDescent="0.2">
      <c r="B7" s="18"/>
      <c r="C7" s="26">
        <v>3</v>
      </c>
      <c r="D7" s="26" t="s">
        <v>52</v>
      </c>
      <c r="E7" s="33">
        <v>0</v>
      </c>
      <c r="F7" s="33">
        <v>0</v>
      </c>
      <c r="G7" s="33">
        <v>0</v>
      </c>
      <c r="H7" s="33">
        <v>0</v>
      </c>
      <c r="I7" s="21"/>
    </row>
    <row r="8" spans="2:9" x14ac:dyDescent="0.2">
      <c r="B8" s="18"/>
      <c r="C8" s="26">
        <v>4</v>
      </c>
      <c r="D8" s="26" t="s">
        <v>53</v>
      </c>
      <c r="E8" s="33">
        <v>0</v>
      </c>
      <c r="F8" s="33">
        <v>0</v>
      </c>
      <c r="G8" s="33">
        <v>0</v>
      </c>
      <c r="H8" s="33">
        <v>0</v>
      </c>
      <c r="I8" s="21"/>
    </row>
    <row r="9" spans="2:9" x14ac:dyDescent="0.2">
      <c r="B9" s="18"/>
      <c r="C9" s="26">
        <v>5</v>
      </c>
      <c r="D9" s="26" t="s">
        <v>54</v>
      </c>
      <c r="E9" s="33">
        <v>0</v>
      </c>
      <c r="F9" s="33">
        <v>0</v>
      </c>
      <c r="G9" s="33">
        <v>0</v>
      </c>
      <c r="H9" s="33">
        <v>0</v>
      </c>
      <c r="I9" s="21"/>
    </row>
    <row r="10" spans="2:9" x14ac:dyDescent="0.2">
      <c r="B10" s="18"/>
      <c r="C10" s="26">
        <v>6</v>
      </c>
      <c r="D10" s="26" t="s">
        <v>55</v>
      </c>
      <c r="E10" s="33">
        <v>-0.5</v>
      </c>
      <c r="F10" s="33">
        <v>-0.25</v>
      </c>
      <c r="G10" s="33">
        <v>0</v>
      </c>
      <c r="H10" s="33">
        <v>0</v>
      </c>
      <c r="I10" s="21"/>
    </row>
    <row r="11" spans="2:9" x14ac:dyDescent="0.2">
      <c r="B11" s="18"/>
      <c r="C11" s="26">
        <v>7</v>
      </c>
      <c r="D11" s="26" t="s">
        <v>56</v>
      </c>
      <c r="E11" s="33">
        <v>0</v>
      </c>
      <c r="F11" s="33">
        <v>0</v>
      </c>
      <c r="G11" s="33">
        <v>0</v>
      </c>
      <c r="H11" s="33">
        <v>0</v>
      </c>
      <c r="I11" s="21"/>
    </row>
    <row r="12" spans="2:9" x14ac:dyDescent="0.2">
      <c r="B12" s="18"/>
      <c r="C12" s="26">
        <v>8</v>
      </c>
      <c r="D12" s="26" t="s">
        <v>57</v>
      </c>
      <c r="E12" s="33">
        <v>-1</v>
      </c>
      <c r="F12" s="33">
        <v>-0.75</v>
      </c>
      <c r="G12" s="33">
        <v>-0.5</v>
      </c>
      <c r="H12" s="33">
        <v>-0.25</v>
      </c>
      <c r="I12" s="21"/>
    </row>
    <row r="13" spans="2:9" x14ac:dyDescent="0.2">
      <c r="B13" s="18"/>
      <c r="C13" s="26">
        <v>9</v>
      </c>
      <c r="D13" s="26" t="s">
        <v>58</v>
      </c>
      <c r="E13" s="33">
        <v>-0.5</v>
      </c>
      <c r="F13" s="33">
        <v>-0.25</v>
      </c>
      <c r="G13" s="33">
        <v>0</v>
      </c>
      <c r="H13" s="33">
        <v>0</v>
      </c>
      <c r="I13" s="21"/>
    </row>
    <row r="14" spans="2:9" x14ac:dyDescent="0.2">
      <c r="B14" s="18"/>
      <c r="C14" s="26">
        <v>10</v>
      </c>
      <c r="D14" s="26" t="s">
        <v>59</v>
      </c>
      <c r="E14" s="33">
        <v>0</v>
      </c>
      <c r="F14" s="33">
        <v>0</v>
      </c>
      <c r="G14" s="33">
        <v>0</v>
      </c>
      <c r="H14" s="33">
        <v>0</v>
      </c>
      <c r="I14" s="21"/>
    </row>
    <row r="15" spans="2:9" x14ac:dyDescent="0.2">
      <c r="B15" s="18"/>
      <c r="C15" s="26">
        <v>11</v>
      </c>
      <c r="D15" s="26" t="s">
        <v>60</v>
      </c>
      <c r="E15" s="33">
        <v>0</v>
      </c>
      <c r="F15" s="33">
        <v>0</v>
      </c>
      <c r="G15" s="33">
        <v>0</v>
      </c>
      <c r="H15" s="33">
        <v>0</v>
      </c>
      <c r="I15" s="21"/>
    </row>
    <row r="16" spans="2:9" x14ac:dyDescent="0.2">
      <c r="B16" s="18"/>
      <c r="C16" s="26">
        <v>12</v>
      </c>
      <c r="D16" s="26" t="s">
        <v>61</v>
      </c>
      <c r="E16" s="33">
        <v>-1</v>
      </c>
      <c r="F16" s="33">
        <v>-1</v>
      </c>
      <c r="G16" s="33">
        <v>-0.67</v>
      </c>
      <c r="H16" s="33">
        <v>-0.33</v>
      </c>
      <c r="I16" s="21"/>
    </row>
    <row r="17" spans="2:9" x14ac:dyDescent="0.2">
      <c r="B17" s="18"/>
      <c r="C17" s="26">
        <v>13</v>
      </c>
      <c r="D17" s="26" t="s">
        <v>62</v>
      </c>
      <c r="E17" s="33">
        <v>-2</v>
      </c>
      <c r="F17" s="33">
        <v>-1.5</v>
      </c>
      <c r="G17" s="33">
        <v>-1</v>
      </c>
      <c r="H17" s="33">
        <v>-1</v>
      </c>
      <c r="I17" s="21"/>
    </row>
    <row r="18" spans="2:9" x14ac:dyDescent="0.2">
      <c r="B18" s="18"/>
      <c r="C18" s="26">
        <v>14</v>
      </c>
      <c r="D18" s="26" t="s">
        <v>63</v>
      </c>
      <c r="E18" s="33">
        <v>0</v>
      </c>
      <c r="F18" s="33">
        <v>0</v>
      </c>
      <c r="G18" s="33">
        <v>0</v>
      </c>
      <c r="H18" s="33">
        <v>0</v>
      </c>
      <c r="I18" s="21"/>
    </row>
    <row r="19" spans="2:9" x14ac:dyDescent="0.2">
      <c r="B19" s="18"/>
      <c r="C19" s="26">
        <v>15</v>
      </c>
      <c r="D19" s="26" t="s">
        <v>64</v>
      </c>
      <c r="E19" s="33">
        <v>0</v>
      </c>
      <c r="F19" s="33">
        <v>0</v>
      </c>
      <c r="G19" s="33">
        <v>0</v>
      </c>
      <c r="H19" s="33">
        <v>0</v>
      </c>
      <c r="I19" s="21"/>
    </row>
    <row r="20" spans="2:9" x14ac:dyDescent="0.2">
      <c r="B20" s="18"/>
      <c r="C20" s="26">
        <v>16</v>
      </c>
      <c r="D20" s="26" t="s">
        <v>65</v>
      </c>
      <c r="E20" s="33">
        <v>0</v>
      </c>
      <c r="F20" s="33">
        <v>0</v>
      </c>
      <c r="G20" s="33">
        <v>0</v>
      </c>
      <c r="H20" s="33">
        <v>0</v>
      </c>
      <c r="I20" s="21"/>
    </row>
    <row r="21" spans="2:9" x14ac:dyDescent="0.2">
      <c r="B21" s="18"/>
      <c r="C21" s="26">
        <v>17</v>
      </c>
      <c r="D21" s="26" t="s">
        <v>66</v>
      </c>
      <c r="E21" s="33">
        <v>0</v>
      </c>
      <c r="F21" s="33">
        <v>0</v>
      </c>
      <c r="G21" s="33">
        <v>0</v>
      </c>
      <c r="H21" s="33">
        <v>0</v>
      </c>
      <c r="I21" s="21"/>
    </row>
    <row r="22" spans="2:9" x14ac:dyDescent="0.2">
      <c r="B22" s="18"/>
      <c r="C22" s="26">
        <v>18</v>
      </c>
      <c r="D22" s="26" t="s">
        <v>67</v>
      </c>
      <c r="E22" s="33">
        <v>0</v>
      </c>
      <c r="F22" s="33">
        <v>0</v>
      </c>
      <c r="G22" s="33">
        <v>0</v>
      </c>
      <c r="H22" s="33">
        <v>0</v>
      </c>
      <c r="I22" s="21"/>
    </row>
    <row r="23" spans="2:9" x14ac:dyDescent="0.2">
      <c r="B23" s="18"/>
      <c r="C23" s="26">
        <v>19</v>
      </c>
      <c r="D23" s="26" t="s">
        <v>68</v>
      </c>
      <c r="E23" s="33">
        <v>-1</v>
      </c>
      <c r="F23" s="33">
        <v>-0.75</v>
      </c>
      <c r="G23" s="33">
        <v>-0.5</v>
      </c>
      <c r="H23" s="33">
        <v>-0.25</v>
      </c>
      <c r="I23" s="21"/>
    </row>
    <row r="24" spans="2:9" x14ac:dyDescent="0.2">
      <c r="B24" s="18"/>
      <c r="C24" s="26">
        <v>20</v>
      </c>
      <c r="D24" s="26" t="s">
        <v>69</v>
      </c>
      <c r="E24" s="33">
        <v>-2</v>
      </c>
      <c r="F24" s="33">
        <v>-1.5</v>
      </c>
      <c r="G24" s="33">
        <v>-1</v>
      </c>
      <c r="H24" s="33">
        <v>-1</v>
      </c>
      <c r="I24" s="21"/>
    </row>
    <row r="25" spans="2:9" x14ac:dyDescent="0.2">
      <c r="B25" s="18"/>
      <c r="C25" s="26">
        <v>21</v>
      </c>
      <c r="D25" s="26" t="s">
        <v>70</v>
      </c>
      <c r="E25" s="33">
        <v>0</v>
      </c>
      <c r="F25" s="33">
        <v>0</v>
      </c>
      <c r="G25" s="33">
        <v>0</v>
      </c>
      <c r="H25" s="33">
        <v>0</v>
      </c>
      <c r="I25" s="21"/>
    </row>
    <row r="26" spans="2:9" x14ac:dyDescent="0.2">
      <c r="B26" s="18"/>
      <c r="C26" s="26">
        <v>22</v>
      </c>
      <c r="D26" s="26" t="s">
        <v>71</v>
      </c>
      <c r="E26" s="33">
        <v>0</v>
      </c>
      <c r="F26" s="33">
        <v>0</v>
      </c>
      <c r="G26" s="33">
        <v>0</v>
      </c>
      <c r="H26" s="33">
        <v>0</v>
      </c>
      <c r="I26" s="21"/>
    </row>
    <row r="27" spans="2:9" x14ac:dyDescent="0.2">
      <c r="B27" s="18"/>
      <c r="C27" s="26">
        <v>23</v>
      </c>
      <c r="D27" s="26" t="s">
        <v>72</v>
      </c>
      <c r="E27" s="33">
        <v>0</v>
      </c>
      <c r="F27" s="33">
        <v>0</v>
      </c>
      <c r="G27" s="33">
        <v>0</v>
      </c>
      <c r="H27" s="33">
        <v>0</v>
      </c>
      <c r="I27" s="21"/>
    </row>
    <row r="28" spans="2:9" x14ac:dyDescent="0.2">
      <c r="B28" s="18"/>
      <c r="C28" s="26">
        <v>24</v>
      </c>
      <c r="D28" s="26" t="s">
        <v>73</v>
      </c>
      <c r="E28" s="33">
        <v>-1</v>
      </c>
      <c r="F28" s="33">
        <v>-0.75</v>
      </c>
      <c r="G28" s="33">
        <v>-0.5</v>
      </c>
      <c r="H28" s="33">
        <v>-0.25</v>
      </c>
      <c r="I28" s="21"/>
    </row>
    <row r="29" spans="2:9" ht="13.5" thickBot="1" x14ac:dyDescent="0.25">
      <c r="B29" s="23"/>
      <c r="C29" s="24"/>
      <c r="D29" s="24"/>
      <c r="E29" s="35"/>
      <c r="F29" s="35"/>
      <c r="G29" s="35"/>
      <c r="H29" s="35"/>
      <c r="I29" s="25"/>
    </row>
    <row r="30" spans="2:9" ht="13.5" thickBot="1" x14ac:dyDescent="0.25">
      <c r="C30" s="20"/>
      <c r="D30" s="20"/>
      <c r="E30" s="34"/>
      <c r="F30" s="34"/>
      <c r="G30" s="34"/>
      <c r="H30" s="34"/>
    </row>
    <row r="31" spans="2:9" x14ac:dyDescent="0.2">
      <c r="B31" s="15"/>
      <c r="C31" s="16"/>
      <c r="D31" s="16"/>
      <c r="E31" s="36"/>
      <c r="F31" s="36"/>
      <c r="G31" s="36"/>
      <c r="H31" s="36"/>
      <c r="I31" s="17"/>
    </row>
    <row r="32" spans="2:9" x14ac:dyDescent="0.2">
      <c r="B32" s="18"/>
      <c r="C32" s="28" t="s">
        <v>240</v>
      </c>
      <c r="D32" s="20"/>
      <c r="E32" s="34"/>
      <c r="F32" s="34"/>
      <c r="G32" s="34"/>
      <c r="H32" s="34"/>
      <c r="I32" s="21"/>
    </row>
    <row r="33" spans="2:9" x14ac:dyDescent="0.2">
      <c r="B33" s="18"/>
      <c r="C33" s="20"/>
      <c r="D33" s="20"/>
      <c r="E33" s="20"/>
      <c r="F33" s="20"/>
      <c r="G33" s="20"/>
      <c r="H33" s="20"/>
      <c r="I33" s="21"/>
    </row>
    <row r="34" spans="2:9" x14ac:dyDescent="0.2">
      <c r="B34" s="18"/>
      <c r="C34" s="30" t="s">
        <v>218</v>
      </c>
      <c r="D34" s="30" t="s">
        <v>238</v>
      </c>
      <c r="E34" s="30" t="s">
        <v>235</v>
      </c>
      <c r="F34" s="30" t="s">
        <v>234</v>
      </c>
      <c r="G34" s="30" t="s">
        <v>233</v>
      </c>
      <c r="H34" s="30" t="s">
        <v>236</v>
      </c>
      <c r="I34" s="21"/>
    </row>
    <row r="35" spans="2:9" x14ac:dyDescent="0.2">
      <c r="B35" s="18"/>
      <c r="C35" s="26">
        <v>2</v>
      </c>
      <c r="D35" s="26" t="s">
        <v>82</v>
      </c>
      <c r="E35" s="33">
        <v>0</v>
      </c>
      <c r="F35" s="33">
        <v>-0.25</v>
      </c>
      <c r="G35" s="33">
        <v>-0.5</v>
      </c>
      <c r="H35" s="33">
        <v>-1</v>
      </c>
      <c r="I35" s="21"/>
    </row>
    <row r="36" spans="2:9" x14ac:dyDescent="0.2">
      <c r="B36" s="18"/>
      <c r="C36" s="26">
        <v>3</v>
      </c>
      <c r="D36" s="26" t="s">
        <v>83</v>
      </c>
      <c r="E36" s="33">
        <v>0.25</v>
      </c>
      <c r="F36" s="33">
        <v>0</v>
      </c>
      <c r="G36" s="33">
        <v>-0.25</v>
      </c>
      <c r="H36" s="33">
        <v>-0.67</v>
      </c>
      <c r="I36" s="21"/>
    </row>
    <row r="37" spans="2:9" x14ac:dyDescent="0.2">
      <c r="B37" s="18"/>
      <c r="C37" s="26">
        <v>4</v>
      </c>
      <c r="D37" s="26" t="s">
        <v>84</v>
      </c>
      <c r="E37" s="33">
        <v>0.5</v>
      </c>
      <c r="F37" s="33">
        <v>0.25</v>
      </c>
      <c r="G37" s="33">
        <v>0</v>
      </c>
      <c r="H37" s="33">
        <v>-0.33</v>
      </c>
      <c r="I37" s="21"/>
    </row>
    <row r="38" spans="2:9" x14ac:dyDescent="0.2">
      <c r="B38" s="18"/>
      <c r="C38" s="26">
        <v>5</v>
      </c>
      <c r="D38" s="26" t="s">
        <v>85</v>
      </c>
      <c r="E38" s="33">
        <v>0.75</v>
      </c>
      <c r="F38" s="33">
        <v>0.5</v>
      </c>
      <c r="G38" s="33">
        <v>0.25</v>
      </c>
      <c r="H38" s="33">
        <v>0</v>
      </c>
      <c r="I38" s="21"/>
    </row>
    <row r="39" spans="2:9" x14ac:dyDescent="0.2">
      <c r="B39" s="18"/>
      <c r="C39" s="26">
        <v>6</v>
      </c>
      <c r="D39" s="26" t="s">
        <v>86</v>
      </c>
      <c r="E39" s="33">
        <v>1</v>
      </c>
      <c r="F39" s="33">
        <v>0.75</v>
      </c>
      <c r="G39" s="33">
        <v>0</v>
      </c>
      <c r="H39" s="33">
        <v>0</v>
      </c>
      <c r="I39" s="21"/>
    </row>
    <row r="40" spans="2:9" ht="13.5" thickBot="1" x14ac:dyDescent="0.25">
      <c r="B40" s="23"/>
      <c r="C40" s="24"/>
      <c r="D40" s="24"/>
      <c r="E40" s="35"/>
      <c r="F40" s="35"/>
      <c r="G40" s="35"/>
      <c r="H40" s="35"/>
      <c r="I40" s="25"/>
    </row>
    <row r="41" spans="2:9" x14ac:dyDescent="0.2">
      <c r="C41" s="20"/>
      <c r="D41" s="20"/>
      <c r="E41" s="34"/>
      <c r="F41" s="34"/>
      <c r="G41" s="34"/>
      <c r="H41" s="34"/>
    </row>
    <row r="42" spans="2:9" ht="13.5" thickBot="1" x14ac:dyDescent="0.25">
      <c r="B42" s="20"/>
      <c r="C42" s="28" t="s">
        <v>243</v>
      </c>
      <c r="D42" s="20"/>
      <c r="E42" s="34"/>
      <c r="F42" s="20"/>
      <c r="G42" s="20"/>
      <c r="H42" s="20"/>
    </row>
    <row r="43" spans="2:9" x14ac:dyDescent="0.2">
      <c r="B43" s="15"/>
      <c r="C43" s="16"/>
      <c r="D43" s="16"/>
      <c r="E43" s="16"/>
      <c r="F43" s="16"/>
      <c r="G43" s="16"/>
      <c r="H43" s="16"/>
      <c r="I43" s="17"/>
    </row>
    <row r="44" spans="2:9" x14ac:dyDescent="0.2">
      <c r="B44" s="18"/>
      <c r="C44" s="30" t="s">
        <v>218</v>
      </c>
      <c r="D44" s="30" t="s">
        <v>244</v>
      </c>
      <c r="E44" s="30" t="s">
        <v>235</v>
      </c>
      <c r="F44" s="30" t="s">
        <v>234</v>
      </c>
      <c r="G44" s="30" t="s">
        <v>233</v>
      </c>
      <c r="H44" s="30" t="s">
        <v>236</v>
      </c>
      <c r="I44" s="21"/>
    </row>
    <row r="45" spans="2:9" x14ac:dyDescent="0.2">
      <c r="B45" s="18"/>
      <c r="C45" s="26">
        <v>2</v>
      </c>
      <c r="D45" s="26" t="s">
        <v>245</v>
      </c>
      <c r="E45" s="50">
        <f>H45*0.7</f>
        <v>-4.8999999999999995</v>
      </c>
      <c r="F45" s="50">
        <f>H45*0.8</f>
        <v>-5.6000000000000005</v>
      </c>
      <c r="G45" s="50">
        <f>H45*0.9</f>
        <v>-6.3</v>
      </c>
      <c r="H45" s="50">
        <v>-7</v>
      </c>
      <c r="I45" s="21"/>
    </row>
    <row r="46" spans="2:9" x14ac:dyDescent="0.2">
      <c r="B46" s="18"/>
      <c r="C46" s="26">
        <v>3</v>
      </c>
      <c r="D46" s="26" t="s">
        <v>250</v>
      </c>
      <c r="E46" s="50">
        <f t="shared" ref="E46:E50" si="0">H46*0.7</f>
        <v>-4.1999999999999993</v>
      </c>
      <c r="F46" s="50">
        <f t="shared" ref="F46:F50" si="1">H46*0.8</f>
        <v>-4.8000000000000007</v>
      </c>
      <c r="G46" s="50">
        <f t="shared" ref="G46:G50" si="2">H46*0.9</f>
        <v>-5.4</v>
      </c>
      <c r="H46" s="50">
        <v>-6</v>
      </c>
      <c r="I46" s="21"/>
    </row>
    <row r="47" spans="2:9" x14ac:dyDescent="0.2">
      <c r="B47" s="18"/>
      <c r="C47" s="26">
        <v>4</v>
      </c>
      <c r="D47" s="26" t="s">
        <v>251</v>
      </c>
      <c r="E47" s="50">
        <f t="shared" si="0"/>
        <v>-3.5</v>
      </c>
      <c r="F47" s="50">
        <f t="shared" si="1"/>
        <v>-4</v>
      </c>
      <c r="G47" s="50">
        <f t="shared" si="2"/>
        <v>-4.5</v>
      </c>
      <c r="H47" s="50">
        <v>-5</v>
      </c>
      <c r="I47" s="21"/>
    </row>
    <row r="48" spans="2:9" x14ac:dyDescent="0.2">
      <c r="B48" s="18"/>
      <c r="C48" s="26">
        <v>5</v>
      </c>
      <c r="D48" s="26" t="s">
        <v>252</v>
      </c>
      <c r="E48" s="50">
        <f t="shared" si="0"/>
        <v>-2.8</v>
      </c>
      <c r="F48" s="50">
        <f t="shared" si="1"/>
        <v>-3.2</v>
      </c>
      <c r="G48" s="50">
        <f t="shared" si="2"/>
        <v>-3.6</v>
      </c>
      <c r="H48" s="50">
        <v>-4</v>
      </c>
      <c r="I48" s="21"/>
    </row>
    <row r="49" spans="2:9" x14ac:dyDescent="0.2">
      <c r="B49" s="18"/>
      <c r="C49" s="26">
        <v>6</v>
      </c>
      <c r="D49" s="26" t="s">
        <v>253</v>
      </c>
      <c r="E49" s="50">
        <f t="shared" si="0"/>
        <v>-2.0999999999999996</v>
      </c>
      <c r="F49" s="50">
        <f t="shared" si="1"/>
        <v>-2.4000000000000004</v>
      </c>
      <c r="G49" s="50">
        <f t="shared" si="2"/>
        <v>-2.7</v>
      </c>
      <c r="H49" s="50">
        <v>-3</v>
      </c>
      <c r="I49" s="21"/>
    </row>
    <row r="50" spans="2:9" x14ac:dyDescent="0.2">
      <c r="B50" s="18"/>
      <c r="C50" s="26">
        <v>7</v>
      </c>
      <c r="D50" s="26" t="s">
        <v>254</v>
      </c>
      <c r="E50" s="50">
        <f t="shared" si="0"/>
        <v>-1.4</v>
      </c>
      <c r="F50" s="50">
        <f t="shared" si="1"/>
        <v>-1.6</v>
      </c>
      <c r="G50" s="50">
        <f t="shared" si="2"/>
        <v>-1.8</v>
      </c>
      <c r="H50" s="50">
        <v>-2</v>
      </c>
      <c r="I50" s="21"/>
    </row>
    <row r="51" spans="2:9" ht="13.5" thickBot="1" x14ac:dyDescent="0.25">
      <c r="B51" s="23"/>
      <c r="C51" s="24"/>
      <c r="D51" s="24"/>
      <c r="E51" s="24"/>
      <c r="F51" s="24"/>
      <c r="G51" s="24"/>
      <c r="H51" s="24"/>
      <c r="I51" s="25"/>
    </row>
    <row r="52" spans="2:9" ht="13.5" thickBot="1" x14ac:dyDescent="0.25">
      <c r="C52" s="20"/>
      <c r="D52" s="20"/>
      <c r="E52" s="34"/>
      <c r="F52" s="34"/>
      <c r="G52" s="34"/>
      <c r="H52" s="34"/>
    </row>
    <row r="53" spans="2:9" x14ac:dyDescent="0.2">
      <c r="B53" s="15"/>
      <c r="C53" s="16"/>
      <c r="D53" s="16"/>
      <c r="E53" s="16"/>
      <c r="F53" s="16"/>
      <c r="G53" s="17"/>
    </row>
    <row r="54" spans="2:9" x14ac:dyDescent="0.2">
      <c r="B54" s="18"/>
      <c r="C54" s="28" t="s">
        <v>243</v>
      </c>
      <c r="D54" s="20"/>
      <c r="E54" s="20"/>
      <c r="F54" s="20"/>
      <c r="G54" s="21"/>
    </row>
    <row r="55" spans="2:9" x14ac:dyDescent="0.2">
      <c r="B55" s="18"/>
      <c r="C55" s="20"/>
      <c r="D55" s="20"/>
      <c r="E55" s="20"/>
      <c r="F55" s="20"/>
      <c r="G55" s="21"/>
    </row>
    <row r="56" spans="2:9" x14ac:dyDescent="0.2">
      <c r="B56" s="18"/>
      <c r="C56" s="30" t="s">
        <v>218</v>
      </c>
      <c r="D56" s="30" t="s">
        <v>244</v>
      </c>
      <c r="E56" s="30" t="s">
        <v>262</v>
      </c>
      <c r="F56" s="30" t="s">
        <v>261</v>
      </c>
      <c r="G56" s="21"/>
    </row>
    <row r="57" spans="2:9" x14ac:dyDescent="0.2">
      <c r="B57" s="18"/>
      <c r="C57" s="26">
        <v>2</v>
      </c>
      <c r="D57" s="26" t="s">
        <v>245</v>
      </c>
      <c r="E57" s="51">
        <v>0</v>
      </c>
      <c r="F57" s="50">
        <v>0</v>
      </c>
      <c r="G57" s="21"/>
    </row>
    <row r="58" spans="2:9" x14ac:dyDescent="0.2">
      <c r="B58" s="18"/>
      <c r="C58" s="26">
        <v>3</v>
      </c>
      <c r="D58" s="26" t="s">
        <v>250</v>
      </c>
      <c r="E58" s="51">
        <v>1</v>
      </c>
      <c r="F58" s="50">
        <v>0</v>
      </c>
      <c r="G58" s="21"/>
    </row>
    <row r="59" spans="2:9" x14ac:dyDescent="0.2">
      <c r="B59" s="18"/>
      <c r="C59" s="26">
        <v>4</v>
      </c>
      <c r="D59" s="26" t="s">
        <v>251</v>
      </c>
      <c r="E59" s="51">
        <v>2</v>
      </c>
      <c r="F59" s="50">
        <v>-1</v>
      </c>
      <c r="G59" s="21"/>
    </row>
    <row r="60" spans="2:9" x14ac:dyDescent="0.2">
      <c r="B60" s="18"/>
      <c r="C60" s="26">
        <v>5</v>
      </c>
      <c r="D60" s="26" t="s">
        <v>252</v>
      </c>
      <c r="E60" s="51">
        <v>3</v>
      </c>
      <c r="F60" s="50">
        <v>-2</v>
      </c>
      <c r="G60" s="21"/>
    </row>
    <row r="61" spans="2:9" x14ac:dyDescent="0.2">
      <c r="B61" s="18"/>
      <c r="C61" s="26">
        <v>6</v>
      </c>
      <c r="D61" s="26" t="s">
        <v>253</v>
      </c>
      <c r="E61" s="51">
        <v>4</v>
      </c>
      <c r="F61" s="50">
        <v>-3</v>
      </c>
      <c r="G61" s="21"/>
    </row>
    <row r="62" spans="2:9" x14ac:dyDescent="0.2">
      <c r="B62" s="18"/>
      <c r="C62" s="26">
        <v>7</v>
      </c>
      <c r="D62" s="26" t="s">
        <v>254</v>
      </c>
      <c r="E62" s="51">
        <v>5</v>
      </c>
      <c r="F62" s="50">
        <v>-5</v>
      </c>
      <c r="G62" s="21"/>
    </row>
    <row r="63" spans="2:9" ht="13.5" thickBot="1" x14ac:dyDescent="0.25">
      <c r="B63" s="23"/>
      <c r="C63" s="24"/>
      <c r="D63" s="24"/>
      <c r="E63" s="24"/>
      <c r="F63" s="24"/>
      <c r="G63" s="25"/>
    </row>
    <row r="64" spans="2:9" ht="13.5" thickBot="1" x14ac:dyDescent="0.25">
      <c r="C64" s="20"/>
      <c r="D64" s="20"/>
      <c r="E64" s="34"/>
      <c r="F64" s="34"/>
      <c r="G64" s="34"/>
      <c r="H64" s="34"/>
    </row>
    <row r="65" spans="2:9" x14ac:dyDescent="0.2">
      <c r="B65" s="15"/>
      <c r="C65" s="16"/>
      <c r="D65" s="16"/>
      <c r="E65" s="36"/>
      <c r="F65" s="47"/>
      <c r="G65" s="34"/>
      <c r="H65" s="34"/>
      <c r="I65" s="20"/>
    </row>
    <row r="66" spans="2:9" x14ac:dyDescent="0.2">
      <c r="B66" s="18"/>
      <c r="C66" s="28" t="s">
        <v>258</v>
      </c>
      <c r="D66" s="20"/>
      <c r="E66" s="34"/>
      <c r="F66" s="48"/>
      <c r="G66" s="34"/>
      <c r="H66" s="34"/>
      <c r="I66" s="20"/>
    </row>
    <row r="67" spans="2:9" x14ac:dyDescent="0.2">
      <c r="B67" s="18"/>
      <c r="C67" s="20"/>
      <c r="D67" s="20"/>
      <c r="E67" s="20"/>
      <c r="F67" s="21"/>
      <c r="G67" s="20"/>
      <c r="H67" s="20"/>
      <c r="I67" s="20"/>
    </row>
    <row r="68" spans="2:9" x14ac:dyDescent="0.2">
      <c r="B68" s="18"/>
      <c r="C68" s="30" t="s">
        <v>218</v>
      </c>
      <c r="D68" s="30" t="s">
        <v>259</v>
      </c>
      <c r="E68" s="30" t="s">
        <v>260</v>
      </c>
      <c r="F68" s="49"/>
      <c r="G68" s="46"/>
      <c r="H68" s="46"/>
      <c r="I68" s="20"/>
    </row>
    <row r="69" spans="2:9" x14ac:dyDescent="0.2">
      <c r="B69" s="18"/>
      <c r="C69" s="26">
        <v>2</v>
      </c>
      <c r="D69" s="26" t="s">
        <v>74</v>
      </c>
      <c r="E69" s="50">
        <v>-0.5</v>
      </c>
      <c r="F69" s="21"/>
      <c r="G69" s="20"/>
      <c r="H69" s="20"/>
      <c r="I69" s="20"/>
    </row>
    <row r="70" spans="2:9" x14ac:dyDescent="0.2">
      <c r="B70" s="18"/>
      <c r="C70" s="26">
        <v>3</v>
      </c>
      <c r="D70" s="26" t="s">
        <v>75</v>
      </c>
      <c r="E70" s="50">
        <v>-1</v>
      </c>
      <c r="F70" s="21"/>
      <c r="G70" s="20"/>
      <c r="H70" s="20"/>
      <c r="I70" s="20"/>
    </row>
    <row r="71" spans="2:9" x14ac:dyDescent="0.2">
      <c r="B71" s="18"/>
      <c r="C71" s="26">
        <v>4</v>
      </c>
      <c r="D71" s="26" t="s">
        <v>76</v>
      </c>
      <c r="E71" s="50">
        <v>-0.75</v>
      </c>
      <c r="F71" s="21"/>
      <c r="G71" s="20"/>
      <c r="H71" s="20"/>
      <c r="I71" s="20"/>
    </row>
    <row r="72" spans="2:9" x14ac:dyDescent="0.2">
      <c r="B72" s="18"/>
      <c r="C72" s="26">
        <v>5</v>
      </c>
      <c r="D72" s="26" t="s">
        <v>66</v>
      </c>
      <c r="E72" s="50">
        <v>-1</v>
      </c>
      <c r="F72" s="21"/>
      <c r="G72" s="20"/>
      <c r="H72" s="20"/>
      <c r="I72" s="20"/>
    </row>
    <row r="73" spans="2:9" x14ac:dyDescent="0.2">
      <c r="B73" s="18"/>
      <c r="C73" s="26">
        <v>6</v>
      </c>
      <c r="D73" s="26" t="s">
        <v>77</v>
      </c>
      <c r="E73" s="50">
        <v>-0.5</v>
      </c>
      <c r="F73" s="21"/>
      <c r="G73" s="20"/>
      <c r="H73" s="20"/>
      <c r="I73" s="20"/>
    </row>
    <row r="74" spans="2:9" x14ac:dyDescent="0.2">
      <c r="B74" s="18"/>
      <c r="C74" s="26">
        <v>7</v>
      </c>
      <c r="D74" s="26" t="s">
        <v>78</v>
      </c>
      <c r="E74" s="50">
        <v>0</v>
      </c>
      <c r="F74" s="21"/>
      <c r="G74" s="20"/>
      <c r="H74" s="20"/>
      <c r="I74" s="20"/>
    </row>
    <row r="75" spans="2:9" x14ac:dyDescent="0.2">
      <c r="B75" s="18"/>
      <c r="C75" s="26">
        <v>8</v>
      </c>
      <c r="D75" s="26" t="s">
        <v>79</v>
      </c>
      <c r="E75" s="50">
        <v>-0.75</v>
      </c>
      <c r="F75" s="21"/>
      <c r="G75" s="20"/>
      <c r="H75" s="20"/>
      <c r="I75" s="20"/>
    </row>
    <row r="76" spans="2:9" ht="13.5" thickBot="1" x14ac:dyDescent="0.25">
      <c r="B76" s="23"/>
      <c r="C76" s="24"/>
      <c r="D76" s="24"/>
      <c r="E76" s="24"/>
      <c r="F76" s="25"/>
      <c r="G76" s="20"/>
      <c r="H76" s="20"/>
      <c r="I76" s="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I39"/>
  <sheetViews>
    <sheetView workbookViewId="0">
      <pane ySplit="1" topLeftCell="A2" activePane="bottomLeft" state="frozen"/>
      <selection activeCell="E56" sqref="E56"/>
      <selection pane="bottomLeft" activeCell="E56" sqref="E56"/>
    </sheetView>
  </sheetViews>
  <sheetFormatPr defaultColWidth="11" defaultRowHeight="12.75" x14ac:dyDescent="0.2"/>
  <cols>
    <col min="1" max="1" width="5.625" style="52" bestFit="1" customWidth="1"/>
    <col min="2" max="2" width="37.875" style="14" bestFit="1" customWidth="1"/>
    <col min="3" max="3" width="7.875" style="14" customWidth="1"/>
    <col min="4" max="4" width="48.5" style="14" bestFit="1" customWidth="1"/>
    <col min="5" max="5" width="14" style="14" bestFit="1" customWidth="1"/>
    <col min="6" max="9" width="9.875" style="52" customWidth="1"/>
    <col min="10" max="16384" width="11" style="14"/>
  </cols>
  <sheetData>
    <row r="1" spans="1:9" s="56" customFormat="1" ht="75" customHeight="1" x14ac:dyDescent="0.25">
      <c r="A1" s="55" t="s">
        <v>313</v>
      </c>
      <c r="B1" s="55" t="s">
        <v>314</v>
      </c>
      <c r="C1" s="55" t="s">
        <v>315</v>
      </c>
      <c r="D1" s="55" t="s">
        <v>316</v>
      </c>
      <c r="E1" s="55" t="s">
        <v>317</v>
      </c>
      <c r="F1" s="55" t="s">
        <v>318</v>
      </c>
      <c r="G1" s="55" t="s">
        <v>319</v>
      </c>
      <c r="H1" s="55" t="s">
        <v>320</v>
      </c>
      <c r="I1" s="55" t="s">
        <v>321</v>
      </c>
    </row>
    <row r="2" spans="1:9" x14ac:dyDescent="0.2">
      <c r="A2" s="54">
        <v>1</v>
      </c>
      <c r="B2" s="26" t="s">
        <v>106</v>
      </c>
      <c r="C2" s="53" t="s">
        <v>146</v>
      </c>
      <c r="D2" s="26" t="s">
        <v>106</v>
      </c>
      <c r="E2" s="26" t="s">
        <v>266</v>
      </c>
      <c r="F2" s="54" t="s">
        <v>105</v>
      </c>
      <c r="G2" s="54" t="s">
        <v>105</v>
      </c>
      <c r="H2" s="54" t="s">
        <v>105</v>
      </c>
      <c r="I2" s="54" t="s">
        <v>105</v>
      </c>
    </row>
    <row r="3" spans="1:9" x14ac:dyDescent="0.2">
      <c r="A3" s="54">
        <v>4</v>
      </c>
      <c r="B3" s="26" t="s">
        <v>109</v>
      </c>
      <c r="C3" s="53" t="s">
        <v>149</v>
      </c>
      <c r="D3" s="26" t="s">
        <v>109</v>
      </c>
      <c r="E3" s="26" t="s">
        <v>266</v>
      </c>
      <c r="F3" s="54">
        <v>2</v>
      </c>
      <c r="G3" s="54">
        <f>F3</f>
        <v>2</v>
      </c>
      <c r="H3" s="54">
        <f>G3</f>
        <v>2</v>
      </c>
      <c r="I3" s="54">
        <f>H3</f>
        <v>2</v>
      </c>
    </row>
    <row r="4" spans="1:9" x14ac:dyDescent="0.2">
      <c r="A4" s="54">
        <v>6</v>
      </c>
      <c r="B4" s="26" t="s">
        <v>110</v>
      </c>
      <c r="C4" s="53" t="s">
        <v>150</v>
      </c>
      <c r="D4" s="26" t="s">
        <v>110</v>
      </c>
      <c r="E4" s="26" t="s">
        <v>266</v>
      </c>
      <c r="F4" s="54">
        <v>4</v>
      </c>
      <c r="G4" s="54">
        <v>5</v>
      </c>
      <c r="H4" s="54">
        <v>6</v>
      </c>
      <c r="I4" s="54">
        <f>H4</f>
        <v>6</v>
      </c>
    </row>
    <row r="5" spans="1:9" x14ac:dyDescent="0.2">
      <c r="A5" s="54">
        <v>8</v>
      </c>
      <c r="B5" s="26" t="s">
        <v>111</v>
      </c>
      <c r="C5" s="53" t="s">
        <v>151</v>
      </c>
      <c r="D5" s="26" t="s">
        <v>111</v>
      </c>
      <c r="E5" s="26" t="s">
        <v>266</v>
      </c>
      <c r="F5" s="54">
        <v>6</v>
      </c>
      <c r="G5" s="54">
        <v>8</v>
      </c>
      <c r="H5" s="54">
        <v>9</v>
      </c>
      <c r="I5" s="54">
        <v>10</v>
      </c>
    </row>
    <row r="6" spans="1:9" x14ac:dyDescent="0.2">
      <c r="A6" s="54">
        <v>10</v>
      </c>
      <c r="B6" s="26" t="s">
        <v>112</v>
      </c>
      <c r="C6" s="53" t="s">
        <v>152</v>
      </c>
      <c r="D6" s="26" t="s">
        <v>112</v>
      </c>
      <c r="E6" s="26" t="s">
        <v>266</v>
      </c>
      <c r="F6" s="54">
        <v>4</v>
      </c>
      <c r="G6" s="54">
        <v>5</v>
      </c>
      <c r="H6" s="54">
        <f>G6</f>
        <v>5</v>
      </c>
      <c r="I6" s="54">
        <f>H6</f>
        <v>5</v>
      </c>
    </row>
    <row r="7" spans="1:9" x14ac:dyDescent="0.2">
      <c r="A7" s="54">
        <v>12</v>
      </c>
      <c r="B7" s="26" t="s">
        <v>113</v>
      </c>
      <c r="C7" s="53" t="s">
        <v>153</v>
      </c>
      <c r="D7" s="26" t="s">
        <v>113</v>
      </c>
      <c r="E7" s="26" t="s">
        <v>266</v>
      </c>
      <c r="F7" s="54">
        <f>G7</f>
        <v>8</v>
      </c>
      <c r="G7" s="54">
        <v>8</v>
      </c>
      <c r="H7" s="54">
        <v>9</v>
      </c>
      <c r="I7" s="54">
        <v>10</v>
      </c>
    </row>
    <row r="8" spans="1:9" x14ac:dyDescent="0.2">
      <c r="A8" s="54">
        <v>14</v>
      </c>
      <c r="B8" s="26" t="s">
        <v>114</v>
      </c>
      <c r="C8" s="53" t="s">
        <v>154</v>
      </c>
      <c r="D8" s="26" t="s">
        <v>114</v>
      </c>
      <c r="E8" s="26" t="s">
        <v>266</v>
      </c>
      <c r="F8" s="54">
        <f>G8</f>
        <v>7</v>
      </c>
      <c r="G8" s="54">
        <v>7</v>
      </c>
      <c r="H8" s="54">
        <v>8</v>
      </c>
      <c r="I8" s="54">
        <f>H8</f>
        <v>8</v>
      </c>
    </row>
    <row r="9" spans="1:9" x14ac:dyDescent="0.2">
      <c r="A9" s="54">
        <v>16</v>
      </c>
      <c r="B9" s="26" t="s">
        <v>115</v>
      </c>
      <c r="C9" s="53" t="s">
        <v>155</v>
      </c>
      <c r="D9" s="26" t="s">
        <v>115</v>
      </c>
      <c r="E9" s="26" t="s">
        <v>266</v>
      </c>
      <c r="F9" s="54">
        <v>7</v>
      </c>
      <c r="G9" s="54">
        <v>8</v>
      </c>
      <c r="H9" s="54">
        <v>9</v>
      </c>
      <c r="I9" s="54">
        <f>H9</f>
        <v>9</v>
      </c>
    </row>
    <row r="10" spans="1:9" x14ac:dyDescent="0.2">
      <c r="A10" s="54">
        <v>18</v>
      </c>
      <c r="B10" s="26" t="s">
        <v>116</v>
      </c>
      <c r="C10" s="53" t="s">
        <v>156</v>
      </c>
      <c r="D10" s="26" t="s">
        <v>116</v>
      </c>
      <c r="E10" s="26" t="s">
        <v>266</v>
      </c>
      <c r="F10" s="54">
        <f>G10</f>
        <v>8</v>
      </c>
      <c r="G10" s="54">
        <v>8</v>
      </c>
      <c r="H10" s="54">
        <v>9</v>
      </c>
      <c r="I10" s="54">
        <v>10</v>
      </c>
    </row>
    <row r="11" spans="1:9" x14ac:dyDescent="0.2">
      <c r="A11" s="54">
        <v>20</v>
      </c>
      <c r="B11" s="26" t="s">
        <v>117</v>
      </c>
      <c r="C11" s="53" t="s">
        <v>157</v>
      </c>
      <c r="D11" s="26" t="s">
        <v>117</v>
      </c>
      <c r="E11" s="26" t="s">
        <v>266</v>
      </c>
      <c r="F11" s="54">
        <f>G11</f>
        <v>8</v>
      </c>
      <c r="G11" s="54">
        <v>8</v>
      </c>
      <c r="H11" s="54">
        <v>9</v>
      </c>
      <c r="I11" s="54">
        <v>10</v>
      </c>
    </row>
    <row r="12" spans="1:9" x14ac:dyDescent="0.2">
      <c r="A12" s="54">
        <v>21</v>
      </c>
      <c r="B12" s="26" t="s">
        <v>118</v>
      </c>
      <c r="C12" s="53" t="s">
        <v>158</v>
      </c>
      <c r="D12" s="26" t="s">
        <v>118</v>
      </c>
      <c r="E12" s="26" t="s">
        <v>266</v>
      </c>
      <c r="F12" s="54">
        <v>6</v>
      </c>
      <c r="G12" s="54">
        <v>7</v>
      </c>
      <c r="H12" s="54">
        <v>8</v>
      </c>
      <c r="I12" s="54">
        <f>H12</f>
        <v>8</v>
      </c>
    </row>
    <row r="13" spans="1:9" x14ac:dyDescent="0.2">
      <c r="A13" s="54">
        <v>22</v>
      </c>
      <c r="B13" s="26" t="s">
        <v>119</v>
      </c>
      <c r="C13" s="53" t="s">
        <v>159</v>
      </c>
      <c r="D13" s="26" t="s">
        <v>119</v>
      </c>
      <c r="E13" s="26" t="s">
        <v>266</v>
      </c>
      <c r="F13" s="54">
        <f>G13</f>
        <v>8</v>
      </c>
      <c r="G13" s="54">
        <v>8</v>
      </c>
      <c r="H13" s="54">
        <v>9</v>
      </c>
      <c r="I13" s="54">
        <v>10</v>
      </c>
    </row>
    <row r="14" spans="1:9" x14ac:dyDescent="0.2">
      <c r="A14" s="54">
        <v>24</v>
      </c>
      <c r="B14" s="26" t="s">
        <v>120</v>
      </c>
      <c r="C14" s="53" t="s">
        <v>160</v>
      </c>
      <c r="D14" s="26" t="s">
        <v>120</v>
      </c>
      <c r="E14" s="26" t="s">
        <v>266</v>
      </c>
      <c r="F14" s="54">
        <v>6</v>
      </c>
      <c r="G14" s="54">
        <v>7</v>
      </c>
      <c r="H14" s="54">
        <v>8</v>
      </c>
      <c r="I14" s="54">
        <f>H14</f>
        <v>8</v>
      </c>
    </row>
    <row r="15" spans="1:9" x14ac:dyDescent="0.2">
      <c r="A15" s="54">
        <v>26</v>
      </c>
      <c r="B15" s="26" t="s">
        <v>121</v>
      </c>
      <c r="C15" s="53" t="s">
        <v>161</v>
      </c>
      <c r="D15" s="26" t="s">
        <v>121</v>
      </c>
      <c r="E15" s="26" t="s">
        <v>266</v>
      </c>
      <c r="F15" s="54">
        <f>G15</f>
        <v>10</v>
      </c>
      <c r="G15" s="54">
        <v>10</v>
      </c>
      <c r="H15" s="54">
        <v>11</v>
      </c>
      <c r="I15" s="54">
        <v>12</v>
      </c>
    </row>
    <row r="16" spans="1:9" x14ac:dyDescent="0.2">
      <c r="A16" s="54">
        <v>28</v>
      </c>
      <c r="B16" s="26" t="s">
        <v>122</v>
      </c>
      <c r="C16" s="53" t="s">
        <v>162</v>
      </c>
      <c r="D16" s="26" t="s">
        <v>122</v>
      </c>
      <c r="E16" s="26" t="s">
        <v>266</v>
      </c>
      <c r="F16" s="54">
        <f>G16</f>
        <v>9</v>
      </c>
      <c r="G16" s="54">
        <v>9</v>
      </c>
      <c r="H16" s="54">
        <v>10</v>
      </c>
      <c r="I16" s="54">
        <v>11</v>
      </c>
    </row>
    <row r="17" spans="1:9" x14ac:dyDescent="0.2">
      <c r="A17" s="54">
        <v>30</v>
      </c>
      <c r="B17" s="26" t="s">
        <v>123</v>
      </c>
      <c r="C17" s="53" t="s">
        <v>163</v>
      </c>
      <c r="D17" s="26" t="s">
        <v>123</v>
      </c>
      <c r="E17" s="26" t="s">
        <v>266</v>
      </c>
      <c r="F17" s="54">
        <f>G17</f>
        <v>10</v>
      </c>
      <c r="G17" s="54">
        <v>10</v>
      </c>
      <c r="H17" s="54">
        <v>11</v>
      </c>
      <c r="I17" s="54">
        <v>12</v>
      </c>
    </row>
    <row r="18" spans="1:9" x14ac:dyDescent="0.2">
      <c r="A18" s="54">
        <v>32</v>
      </c>
      <c r="B18" s="26" t="s">
        <v>124</v>
      </c>
      <c r="C18" s="53" t="s">
        <v>164</v>
      </c>
      <c r="D18" s="26" t="s">
        <v>124</v>
      </c>
      <c r="E18" s="26" t="s">
        <v>266</v>
      </c>
      <c r="F18" s="54">
        <f>G18</f>
        <v>9</v>
      </c>
      <c r="G18" s="54">
        <v>9</v>
      </c>
      <c r="H18" s="54">
        <v>10</v>
      </c>
      <c r="I18" s="54">
        <v>11</v>
      </c>
    </row>
    <row r="19" spans="1:9" x14ac:dyDescent="0.2">
      <c r="A19" s="54">
        <v>34</v>
      </c>
      <c r="B19" s="26" t="s">
        <v>125</v>
      </c>
      <c r="C19" s="53" t="s">
        <v>165</v>
      </c>
      <c r="D19" s="26" t="s">
        <v>125</v>
      </c>
      <c r="E19" s="26" t="s">
        <v>266</v>
      </c>
      <c r="F19" s="54">
        <f>G19</f>
        <v>10</v>
      </c>
      <c r="G19" s="54">
        <v>10</v>
      </c>
      <c r="H19" s="54">
        <v>11</v>
      </c>
      <c r="I19" s="54">
        <v>12</v>
      </c>
    </row>
    <row r="20" spans="1:9" x14ac:dyDescent="0.2">
      <c r="A20" s="54">
        <v>36</v>
      </c>
      <c r="B20" s="26" t="s">
        <v>126</v>
      </c>
      <c r="C20" s="53" t="s">
        <v>166</v>
      </c>
      <c r="D20" s="26" t="s">
        <v>126</v>
      </c>
      <c r="E20" s="26" t="s">
        <v>266</v>
      </c>
      <c r="F20" s="54">
        <v>6</v>
      </c>
      <c r="G20" s="54">
        <v>5</v>
      </c>
      <c r="H20" s="54">
        <v>8</v>
      </c>
      <c r="I20" s="54">
        <f>H20</f>
        <v>8</v>
      </c>
    </row>
    <row r="21" spans="1:9" x14ac:dyDescent="0.2">
      <c r="A21" s="54">
        <v>38</v>
      </c>
      <c r="B21" s="26" t="s">
        <v>127</v>
      </c>
      <c r="C21" s="53" t="s">
        <v>167</v>
      </c>
      <c r="D21" s="26" t="s">
        <v>127</v>
      </c>
      <c r="E21" s="26" t="s">
        <v>266</v>
      </c>
      <c r="F21" s="54">
        <v>5</v>
      </c>
      <c r="G21" s="54">
        <v>7</v>
      </c>
      <c r="H21" s="54">
        <v>8</v>
      </c>
      <c r="I21" s="54">
        <v>9</v>
      </c>
    </row>
    <row r="22" spans="1:9" x14ac:dyDescent="0.2">
      <c r="A22" s="54">
        <v>40</v>
      </c>
      <c r="B22" s="26" t="s">
        <v>128</v>
      </c>
      <c r="C22" s="53" t="s">
        <v>168</v>
      </c>
      <c r="D22" s="26" t="s">
        <v>128</v>
      </c>
      <c r="E22" s="26" t="s">
        <v>266</v>
      </c>
      <c r="F22" s="54">
        <v>6</v>
      </c>
      <c r="G22" s="54">
        <v>8</v>
      </c>
      <c r="H22" s="54">
        <v>9</v>
      </c>
      <c r="I22" s="54">
        <v>10</v>
      </c>
    </row>
    <row r="23" spans="1:9" x14ac:dyDescent="0.2">
      <c r="A23" s="54">
        <v>42</v>
      </c>
      <c r="B23" s="26" t="s">
        <v>129</v>
      </c>
      <c r="C23" s="53" t="s">
        <v>169</v>
      </c>
      <c r="D23" s="26" t="s">
        <v>129</v>
      </c>
      <c r="E23" s="26" t="s">
        <v>266</v>
      </c>
      <c r="F23" s="54">
        <v>4</v>
      </c>
      <c r="G23" s="54">
        <v>5</v>
      </c>
      <c r="H23" s="54">
        <v>6</v>
      </c>
      <c r="I23" s="54">
        <v>7</v>
      </c>
    </row>
    <row r="24" spans="1:9" x14ac:dyDescent="0.2">
      <c r="A24" s="54">
        <v>44</v>
      </c>
      <c r="B24" s="26" t="s">
        <v>130</v>
      </c>
      <c r="C24" s="53" t="s">
        <v>170</v>
      </c>
      <c r="D24" s="26" t="s">
        <v>130</v>
      </c>
      <c r="E24" s="26" t="s">
        <v>266</v>
      </c>
      <c r="F24" s="54">
        <v>5</v>
      </c>
      <c r="G24" s="54">
        <v>7</v>
      </c>
      <c r="H24" s="54">
        <v>8</v>
      </c>
      <c r="I24" s="54">
        <v>9</v>
      </c>
    </row>
    <row r="25" spans="1:9" x14ac:dyDescent="0.2">
      <c r="A25" s="54">
        <v>46</v>
      </c>
      <c r="B25" s="26" t="s">
        <v>131</v>
      </c>
      <c r="C25" s="53" t="s">
        <v>171</v>
      </c>
      <c r="D25" s="26" t="s">
        <v>131</v>
      </c>
      <c r="E25" s="26" t="s">
        <v>266</v>
      </c>
      <c r="F25" s="54">
        <v>5</v>
      </c>
      <c r="G25" s="54">
        <v>6</v>
      </c>
      <c r="H25" s="54">
        <v>7</v>
      </c>
      <c r="I25" s="54">
        <v>8</v>
      </c>
    </row>
    <row r="26" spans="1:9" x14ac:dyDescent="0.2">
      <c r="A26" s="54">
        <v>48</v>
      </c>
      <c r="B26" s="26" t="s">
        <v>132</v>
      </c>
      <c r="C26" s="53" t="s">
        <v>172</v>
      </c>
      <c r="D26" s="26" t="s">
        <v>132</v>
      </c>
      <c r="E26" s="26" t="s">
        <v>266</v>
      </c>
      <c r="F26" s="54">
        <v>6</v>
      </c>
      <c r="G26" s="54">
        <v>7</v>
      </c>
      <c r="H26" s="54">
        <v>8</v>
      </c>
      <c r="I26" s="54">
        <v>9</v>
      </c>
    </row>
    <row r="27" spans="1:9" x14ac:dyDescent="0.2">
      <c r="A27" s="54">
        <v>50</v>
      </c>
      <c r="B27" s="26" t="s">
        <v>133</v>
      </c>
      <c r="C27" s="53" t="s">
        <v>173</v>
      </c>
      <c r="D27" s="26" t="s">
        <v>133</v>
      </c>
      <c r="E27" s="26" t="s">
        <v>266</v>
      </c>
      <c r="F27" s="54">
        <v>6</v>
      </c>
      <c r="G27" s="54">
        <v>7</v>
      </c>
      <c r="H27" s="54">
        <v>8</v>
      </c>
      <c r="I27" s="54">
        <v>9</v>
      </c>
    </row>
    <row r="28" spans="1:9" x14ac:dyDescent="0.2">
      <c r="A28" s="54">
        <v>52</v>
      </c>
      <c r="B28" s="26" t="s">
        <v>134</v>
      </c>
      <c r="C28" s="53" t="s">
        <v>174</v>
      </c>
      <c r="D28" s="26" t="s">
        <v>134</v>
      </c>
      <c r="E28" s="26" t="s">
        <v>266</v>
      </c>
      <c r="F28" s="54">
        <v>8</v>
      </c>
      <c r="G28" s="54">
        <v>9</v>
      </c>
      <c r="H28" s="54">
        <v>10</v>
      </c>
      <c r="I28" s="54">
        <v>11</v>
      </c>
    </row>
    <row r="29" spans="1:9" x14ac:dyDescent="0.2">
      <c r="A29" s="54">
        <v>54</v>
      </c>
      <c r="B29" s="26" t="s">
        <v>135</v>
      </c>
      <c r="C29" s="53" t="s">
        <v>175</v>
      </c>
      <c r="D29" s="26" t="s">
        <v>135</v>
      </c>
      <c r="E29" s="26" t="s">
        <v>266</v>
      </c>
      <c r="F29" s="54">
        <f>G29</f>
        <v>9</v>
      </c>
      <c r="G29" s="54">
        <v>9</v>
      </c>
      <c r="H29" s="54">
        <v>10</v>
      </c>
      <c r="I29" s="54">
        <v>11</v>
      </c>
    </row>
    <row r="30" spans="1:9" x14ac:dyDescent="0.2">
      <c r="A30" s="54">
        <v>56</v>
      </c>
      <c r="B30" s="26" t="s">
        <v>136</v>
      </c>
      <c r="C30" s="53" t="s">
        <v>176</v>
      </c>
      <c r="D30" s="26" t="s">
        <v>136</v>
      </c>
      <c r="E30" s="26" t="s">
        <v>266</v>
      </c>
      <c r="F30" s="54">
        <v>7</v>
      </c>
      <c r="G30" s="54">
        <v>8</v>
      </c>
      <c r="H30" s="54">
        <v>9</v>
      </c>
      <c r="I30" s="54">
        <v>10</v>
      </c>
    </row>
    <row r="31" spans="1:9" x14ac:dyDescent="0.2">
      <c r="A31" s="54">
        <v>58</v>
      </c>
      <c r="B31" s="26" t="s">
        <v>137</v>
      </c>
      <c r="C31" s="53" t="s">
        <v>177</v>
      </c>
      <c r="D31" s="26" t="s">
        <v>137</v>
      </c>
      <c r="E31" s="26" t="s">
        <v>266</v>
      </c>
      <c r="F31" s="54">
        <f>G31</f>
        <v>9</v>
      </c>
      <c r="G31" s="54">
        <v>9</v>
      </c>
      <c r="H31" s="54">
        <v>10</v>
      </c>
      <c r="I31" s="54">
        <v>11</v>
      </c>
    </row>
    <row r="32" spans="1:9" x14ac:dyDescent="0.2">
      <c r="A32" s="54">
        <v>60</v>
      </c>
      <c r="B32" s="26" t="s">
        <v>138</v>
      </c>
      <c r="C32" s="53" t="s">
        <v>178</v>
      </c>
      <c r="D32" s="26" t="s">
        <v>138</v>
      </c>
      <c r="E32" s="26" t="s">
        <v>266</v>
      </c>
      <c r="F32" s="54">
        <f>G32</f>
        <v>9</v>
      </c>
      <c r="G32" s="54">
        <v>9</v>
      </c>
      <c r="H32" s="54">
        <v>10</v>
      </c>
      <c r="I32" s="54">
        <v>11</v>
      </c>
    </row>
    <row r="33" spans="1:9" x14ac:dyDescent="0.2">
      <c r="A33" s="54">
        <v>62</v>
      </c>
      <c r="B33" s="26" t="s">
        <v>139</v>
      </c>
      <c r="C33" s="53" t="s">
        <v>179</v>
      </c>
      <c r="D33" s="26" t="s">
        <v>139</v>
      </c>
      <c r="E33" s="26" t="s">
        <v>266</v>
      </c>
      <c r="F33" s="54">
        <f>G33</f>
        <v>9</v>
      </c>
      <c r="G33" s="54">
        <v>9</v>
      </c>
      <c r="H33" s="54">
        <v>10</v>
      </c>
      <c r="I33" s="54">
        <v>11</v>
      </c>
    </row>
    <row r="34" spans="1:9" x14ac:dyDescent="0.2">
      <c r="A34" s="54">
        <v>64</v>
      </c>
      <c r="B34" s="26" t="s">
        <v>140</v>
      </c>
      <c r="C34" s="53" t="s">
        <v>180</v>
      </c>
      <c r="D34" s="26" t="s">
        <v>140</v>
      </c>
      <c r="E34" s="26" t="s">
        <v>266</v>
      </c>
      <c r="F34" s="54">
        <f>G34</f>
        <v>9</v>
      </c>
      <c r="G34" s="54">
        <v>9</v>
      </c>
      <c r="H34" s="54">
        <v>10</v>
      </c>
      <c r="I34" s="54">
        <v>11</v>
      </c>
    </row>
    <row r="35" spans="1:9" x14ac:dyDescent="0.2">
      <c r="A35" s="54">
        <v>66</v>
      </c>
      <c r="B35" s="26" t="s">
        <v>141</v>
      </c>
      <c r="C35" s="53" t="s">
        <v>181</v>
      </c>
      <c r="D35" s="26" t="s">
        <v>141</v>
      </c>
      <c r="E35" s="26" t="s">
        <v>266</v>
      </c>
      <c r="F35" s="54">
        <v>4</v>
      </c>
      <c r="G35" s="54">
        <v>6</v>
      </c>
      <c r="H35" s="54">
        <v>7</v>
      </c>
      <c r="I35" s="54">
        <v>8</v>
      </c>
    </row>
    <row r="36" spans="1:9" x14ac:dyDescent="0.2">
      <c r="A36" s="54">
        <v>68</v>
      </c>
      <c r="B36" s="26" t="s">
        <v>142</v>
      </c>
      <c r="C36" s="53" t="s">
        <v>182</v>
      </c>
      <c r="D36" s="26" t="s">
        <v>142</v>
      </c>
      <c r="E36" s="26" t="s">
        <v>266</v>
      </c>
      <c r="F36" s="54">
        <v>4</v>
      </c>
      <c r="G36" s="54">
        <v>6</v>
      </c>
      <c r="H36" s="54">
        <v>7</v>
      </c>
      <c r="I36" s="54">
        <v>8</v>
      </c>
    </row>
    <row r="37" spans="1:9" x14ac:dyDescent="0.2">
      <c r="A37" s="54">
        <v>70</v>
      </c>
      <c r="B37" s="26" t="s">
        <v>143</v>
      </c>
      <c r="C37" s="53" t="s">
        <v>183</v>
      </c>
      <c r="D37" s="26" t="s">
        <v>143</v>
      </c>
      <c r="E37" s="26" t="s">
        <v>266</v>
      </c>
      <c r="F37" s="54">
        <v>6</v>
      </c>
      <c r="G37" s="54">
        <v>8</v>
      </c>
      <c r="H37" s="54">
        <v>9</v>
      </c>
      <c r="I37" s="54">
        <v>10</v>
      </c>
    </row>
    <row r="38" spans="1:9" x14ac:dyDescent="0.2">
      <c r="A38" s="54">
        <v>71</v>
      </c>
      <c r="B38" s="26" t="s">
        <v>144</v>
      </c>
      <c r="C38" s="53" t="s">
        <v>184</v>
      </c>
      <c r="D38" s="26" t="s">
        <v>144</v>
      </c>
      <c r="E38" s="26" t="s">
        <v>266</v>
      </c>
      <c r="F38" s="54">
        <v>7</v>
      </c>
      <c r="G38" s="54">
        <v>8</v>
      </c>
      <c r="H38" s="54">
        <v>9</v>
      </c>
      <c r="I38" s="54">
        <v>10</v>
      </c>
    </row>
    <row r="39" spans="1:9" x14ac:dyDescent="0.2">
      <c r="A39" s="54">
        <v>72</v>
      </c>
      <c r="B39" s="26" t="s">
        <v>145</v>
      </c>
      <c r="C39" s="53" t="s">
        <v>185</v>
      </c>
      <c r="D39" s="26" t="s">
        <v>145</v>
      </c>
      <c r="E39" s="26" t="s">
        <v>266</v>
      </c>
      <c r="F39" s="54">
        <v>7</v>
      </c>
      <c r="G39" s="54">
        <v>8</v>
      </c>
      <c r="H39" s="54">
        <v>9</v>
      </c>
      <c r="I39" s="54">
        <v>10</v>
      </c>
    </row>
  </sheetData>
  <sortState ref="A2:I74">
    <sortCondition descending="1" ref="E2:E74"/>
    <sortCondition ref="A2:A7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:I36"/>
  <sheetViews>
    <sheetView workbookViewId="0">
      <pane ySplit="1" topLeftCell="A2" activePane="bottomLeft" state="frozen"/>
      <selection activeCell="E56" sqref="E56"/>
      <selection pane="bottomLeft" activeCell="E56" sqref="E56"/>
    </sheetView>
  </sheetViews>
  <sheetFormatPr defaultColWidth="11" defaultRowHeight="12.75" x14ac:dyDescent="0.2"/>
  <cols>
    <col min="1" max="1" width="5.625" style="52" bestFit="1" customWidth="1"/>
    <col min="2" max="2" width="37.875" style="14" bestFit="1" customWidth="1"/>
    <col min="3" max="3" width="7.875" style="14" customWidth="1"/>
    <col min="4" max="4" width="48.5" style="14" bestFit="1" customWidth="1"/>
    <col min="5" max="5" width="14" style="14" bestFit="1" customWidth="1"/>
    <col min="6" max="9" width="9.875" style="52" customWidth="1"/>
    <col min="10" max="16384" width="11" style="14"/>
  </cols>
  <sheetData>
    <row r="1" spans="1:9" s="56" customFormat="1" ht="75" customHeight="1" x14ac:dyDescent="0.25">
      <c r="A1" s="55" t="s">
        <v>313</v>
      </c>
      <c r="B1" s="55" t="s">
        <v>314</v>
      </c>
      <c r="C1" s="55" t="s">
        <v>315</v>
      </c>
      <c r="D1" s="55" t="s">
        <v>316</v>
      </c>
      <c r="E1" s="55" t="s">
        <v>317</v>
      </c>
      <c r="F1" s="55" t="s">
        <v>318</v>
      </c>
      <c r="G1" s="55" t="s">
        <v>319</v>
      </c>
      <c r="H1" s="55" t="s">
        <v>320</v>
      </c>
      <c r="I1" s="55" t="s">
        <v>321</v>
      </c>
    </row>
    <row r="2" spans="1:9" x14ac:dyDescent="0.2">
      <c r="A2" s="54">
        <v>2</v>
      </c>
      <c r="B2" s="26" t="s">
        <v>107</v>
      </c>
      <c r="C2" s="26" t="s">
        <v>147</v>
      </c>
      <c r="D2" s="26" t="s">
        <v>107</v>
      </c>
      <c r="E2" s="26" t="s">
        <v>267</v>
      </c>
      <c r="F2" s="54" t="s">
        <v>105</v>
      </c>
      <c r="G2" s="54" t="s">
        <v>105</v>
      </c>
      <c r="H2" s="54" t="s">
        <v>105</v>
      </c>
      <c r="I2" s="54" t="s">
        <v>105</v>
      </c>
    </row>
    <row r="3" spans="1:9" x14ac:dyDescent="0.2">
      <c r="A3" s="54">
        <v>3</v>
      </c>
      <c r="B3" s="26" t="s">
        <v>108</v>
      </c>
      <c r="C3" s="26" t="s">
        <v>148</v>
      </c>
      <c r="D3" s="26" t="s">
        <v>108</v>
      </c>
      <c r="E3" s="26" t="s">
        <v>267</v>
      </c>
      <c r="F3" s="54" t="s">
        <v>105</v>
      </c>
      <c r="G3" s="54" t="s">
        <v>105</v>
      </c>
      <c r="H3" s="54" t="s">
        <v>105</v>
      </c>
      <c r="I3" s="54" t="s">
        <v>105</v>
      </c>
    </row>
    <row r="4" spans="1:9" x14ac:dyDescent="0.2">
      <c r="A4" s="54">
        <v>5</v>
      </c>
      <c r="B4" s="26" t="s">
        <v>109</v>
      </c>
      <c r="C4" s="26" t="s">
        <v>268</v>
      </c>
      <c r="D4" s="26" t="s">
        <v>186</v>
      </c>
      <c r="E4" s="26" t="s">
        <v>267</v>
      </c>
      <c r="F4" s="54">
        <v>2</v>
      </c>
      <c r="G4" s="54">
        <v>2</v>
      </c>
      <c r="H4" s="54">
        <v>2</v>
      </c>
      <c r="I4" s="54">
        <v>2</v>
      </c>
    </row>
    <row r="5" spans="1:9" x14ac:dyDescent="0.2">
      <c r="A5" s="54">
        <v>7</v>
      </c>
      <c r="B5" s="26" t="s">
        <v>110</v>
      </c>
      <c r="C5" s="26" t="s">
        <v>298</v>
      </c>
      <c r="D5" s="26" t="s">
        <v>187</v>
      </c>
      <c r="E5" s="26" t="s">
        <v>267</v>
      </c>
      <c r="F5" s="54">
        <v>2</v>
      </c>
      <c r="G5" s="54">
        <v>3</v>
      </c>
      <c r="H5" s="54">
        <v>4</v>
      </c>
      <c r="I5" s="54">
        <v>4</v>
      </c>
    </row>
    <row r="6" spans="1:9" x14ac:dyDescent="0.2">
      <c r="A6" s="54">
        <v>9</v>
      </c>
      <c r="B6" s="26" t="s">
        <v>111</v>
      </c>
      <c r="C6" s="26" t="s">
        <v>299</v>
      </c>
      <c r="D6" s="26" t="s">
        <v>188</v>
      </c>
      <c r="E6" s="26" t="s">
        <v>267</v>
      </c>
      <c r="F6" s="54">
        <v>4</v>
      </c>
      <c r="G6" s="54">
        <v>6</v>
      </c>
      <c r="H6" s="54">
        <v>7</v>
      </c>
      <c r="I6" s="54">
        <v>8</v>
      </c>
    </row>
    <row r="7" spans="1:9" x14ac:dyDescent="0.2">
      <c r="A7" s="54">
        <v>11</v>
      </c>
      <c r="B7" s="26" t="s">
        <v>303</v>
      </c>
      <c r="C7" s="26" t="s">
        <v>269</v>
      </c>
      <c r="D7" s="26" t="s">
        <v>270</v>
      </c>
      <c r="E7" s="26" t="s">
        <v>267</v>
      </c>
      <c r="F7" s="54">
        <v>3</v>
      </c>
      <c r="G7" s="54">
        <v>4</v>
      </c>
      <c r="H7" s="54">
        <v>4</v>
      </c>
      <c r="I7" s="54">
        <v>4</v>
      </c>
    </row>
    <row r="8" spans="1:9" x14ac:dyDescent="0.2">
      <c r="A8" s="54">
        <v>13</v>
      </c>
      <c r="B8" s="26" t="s">
        <v>113</v>
      </c>
      <c r="C8" s="26" t="s">
        <v>271</v>
      </c>
      <c r="D8" s="26" t="s">
        <v>189</v>
      </c>
      <c r="E8" s="26" t="s">
        <v>267</v>
      </c>
      <c r="F8" s="54">
        <v>5</v>
      </c>
      <c r="G8" s="54">
        <v>6</v>
      </c>
      <c r="H8" s="54">
        <v>7</v>
      </c>
      <c r="I8" s="54">
        <v>8</v>
      </c>
    </row>
    <row r="9" spans="1:9" x14ac:dyDescent="0.2">
      <c r="A9" s="54">
        <v>15</v>
      </c>
      <c r="B9" s="26" t="s">
        <v>114</v>
      </c>
      <c r="C9" s="26" t="s">
        <v>272</v>
      </c>
      <c r="D9" s="26" t="s">
        <v>190</v>
      </c>
      <c r="E9" s="26" t="s">
        <v>267</v>
      </c>
      <c r="F9" s="54">
        <v>4</v>
      </c>
      <c r="G9" s="54">
        <v>5</v>
      </c>
      <c r="H9" s="54">
        <v>6</v>
      </c>
      <c r="I9" s="54">
        <v>7</v>
      </c>
    </row>
    <row r="10" spans="1:9" x14ac:dyDescent="0.2">
      <c r="A10" s="54">
        <v>17</v>
      </c>
      <c r="B10" s="26" t="s">
        <v>115</v>
      </c>
      <c r="C10" s="26" t="s">
        <v>273</v>
      </c>
      <c r="D10" s="26" t="s">
        <v>191</v>
      </c>
      <c r="E10" s="26" t="s">
        <v>267</v>
      </c>
      <c r="F10" s="54">
        <v>5</v>
      </c>
      <c r="G10" s="54">
        <v>6</v>
      </c>
      <c r="H10" s="54">
        <v>7</v>
      </c>
      <c r="I10" s="54">
        <v>7</v>
      </c>
    </row>
    <row r="11" spans="1:9" x14ac:dyDescent="0.2">
      <c r="A11" s="54">
        <v>19</v>
      </c>
      <c r="B11" s="26" t="s">
        <v>116</v>
      </c>
      <c r="C11" s="26" t="s">
        <v>274</v>
      </c>
      <c r="D11" s="26" t="s">
        <v>192</v>
      </c>
      <c r="E11" s="26" t="s">
        <v>267</v>
      </c>
      <c r="F11" s="54">
        <v>5</v>
      </c>
      <c r="G11" s="54">
        <v>6</v>
      </c>
      <c r="H11" s="54">
        <v>7</v>
      </c>
      <c r="I11" s="54">
        <v>7</v>
      </c>
    </row>
    <row r="12" spans="1:9" x14ac:dyDescent="0.2">
      <c r="A12" s="54">
        <v>23</v>
      </c>
      <c r="B12" s="26" t="s">
        <v>119</v>
      </c>
      <c r="C12" s="26" t="s">
        <v>275</v>
      </c>
      <c r="D12" s="26" t="s">
        <v>193</v>
      </c>
      <c r="E12" s="26" t="s">
        <v>267</v>
      </c>
      <c r="F12" s="54">
        <v>4</v>
      </c>
      <c r="G12" s="54">
        <v>5</v>
      </c>
      <c r="H12" s="54">
        <v>6</v>
      </c>
      <c r="I12" s="54">
        <v>7</v>
      </c>
    </row>
    <row r="13" spans="1:9" x14ac:dyDescent="0.2">
      <c r="A13" s="54">
        <v>25</v>
      </c>
      <c r="B13" s="26" t="s">
        <v>120</v>
      </c>
      <c r="C13" s="26" t="s">
        <v>276</v>
      </c>
      <c r="D13" s="26" t="s">
        <v>194</v>
      </c>
      <c r="E13" s="26" t="s">
        <v>267</v>
      </c>
      <c r="F13" s="54">
        <v>4</v>
      </c>
      <c r="G13" s="54">
        <v>5</v>
      </c>
      <c r="H13" s="54">
        <v>6</v>
      </c>
      <c r="I13" s="54">
        <v>6</v>
      </c>
    </row>
    <row r="14" spans="1:9" x14ac:dyDescent="0.2">
      <c r="A14" s="54">
        <v>27</v>
      </c>
      <c r="B14" s="26" t="s">
        <v>121</v>
      </c>
      <c r="C14" s="26" t="s">
        <v>277</v>
      </c>
      <c r="D14" s="26" t="s">
        <v>195</v>
      </c>
      <c r="E14" s="26" t="s">
        <v>267</v>
      </c>
      <c r="F14" s="54">
        <v>8</v>
      </c>
      <c r="G14" s="54">
        <v>8</v>
      </c>
      <c r="H14" s="54">
        <v>9</v>
      </c>
      <c r="I14" s="54">
        <v>10</v>
      </c>
    </row>
    <row r="15" spans="1:9" x14ac:dyDescent="0.2">
      <c r="A15" s="54">
        <v>29</v>
      </c>
      <c r="B15" s="26" t="s">
        <v>304</v>
      </c>
      <c r="C15" s="26" t="s">
        <v>278</v>
      </c>
      <c r="D15" s="26" t="s">
        <v>196</v>
      </c>
      <c r="E15" s="26" t="s">
        <v>267</v>
      </c>
      <c r="F15" s="54">
        <v>6</v>
      </c>
      <c r="G15" s="54">
        <v>7</v>
      </c>
      <c r="H15" s="54">
        <v>8</v>
      </c>
      <c r="I15" s="54">
        <v>8</v>
      </c>
    </row>
    <row r="16" spans="1:9" x14ac:dyDescent="0.2">
      <c r="A16" s="54">
        <v>31</v>
      </c>
      <c r="B16" s="26" t="s">
        <v>123</v>
      </c>
      <c r="C16" s="26" t="s">
        <v>279</v>
      </c>
      <c r="D16" s="26" t="s">
        <v>197</v>
      </c>
      <c r="E16" s="26" t="s">
        <v>267</v>
      </c>
      <c r="F16" s="54">
        <v>8</v>
      </c>
      <c r="G16" s="54">
        <v>8</v>
      </c>
      <c r="H16" s="54">
        <v>9</v>
      </c>
      <c r="I16" s="54">
        <v>10</v>
      </c>
    </row>
    <row r="17" spans="1:9" x14ac:dyDescent="0.2">
      <c r="A17" s="54">
        <v>33</v>
      </c>
      <c r="B17" s="26" t="s">
        <v>124</v>
      </c>
      <c r="C17" s="26" t="s">
        <v>280</v>
      </c>
      <c r="D17" s="26" t="s">
        <v>198</v>
      </c>
      <c r="E17" s="26" t="s">
        <v>267</v>
      </c>
      <c r="F17" s="54">
        <v>7</v>
      </c>
      <c r="G17" s="54">
        <v>7</v>
      </c>
      <c r="H17" s="54">
        <v>8</v>
      </c>
      <c r="I17" s="54">
        <v>9</v>
      </c>
    </row>
    <row r="18" spans="1:9" x14ac:dyDescent="0.2">
      <c r="A18" s="54">
        <v>35</v>
      </c>
      <c r="B18" s="26" t="s">
        <v>125</v>
      </c>
      <c r="C18" s="26" t="s">
        <v>281</v>
      </c>
      <c r="D18" s="26" t="s">
        <v>199</v>
      </c>
      <c r="E18" s="26" t="s">
        <v>267</v>
      </c>
      <c r="F18" s="54">
        <v>7</v>
      </c>
      <c r="G18" s="54">
        <v>8</v>
      </c>
      <c r="H18" s="54">
        <v>9</v>
      </c>
      <c r="I18" s="54">
        <v>10</v>
      </c>
    </row>
    <row r="19" spans="1:9" x14ac:dyDescent="0.2">
      <c r="A19" s="54">
        <v>37</v>
      </c>
      <c r="B19" s="26" t="s">
        <v>305</v>
      </c>
      <c r="C19" s="26" t="s">
        <v>282</v>
      </c>
      <c r="D19" s="26" t="s">
        <v>283</v>
      </c>
      <c r="E19" s="26" t="s">
        <v>267</v>
      </c>
      <c r="F19" s="54">
        <v>3</v>
      </c>
      <c r="G19" s="54">
        <v>4</v>
      </c>
      <c r="H19" s="54">
        <v>5</v>
      </c>
      <c r="I19" s="54">
        <v>5</v>
      </c>
    </row>
    <row r="20" spans="1:9" x14ac:dyDescent="0.2">
      <c r="A20" s="54">
        <v>39</v>
      </c>
      <c r="B20" s="26" t="s">
        <v>127</v>
      </c>
      <c r="C20" s="26" t="s">
        <v>284</v>
      </c>
      <c r="D20" s="26" t="s">
        <v>200</v>
      </c>
      <c r="E20" s="26" t="s">
        <v>267</v>
      </c>
      <c r="F20" s="54">
        <v>3</v>
      </c>
      <c r="G20" s="54">
        <v>5</v>
      </c>
      <c r="H20" s="54">
        <v>6</v>
      </c>
      <c r="I20" s="54">
        <v>7</v>
      </c>
    </row>
    <row r="21" spans="1:9" x14ac:dyDescent="0.2">
      <c r="A21" s="54">
        <v>41</v>
      </c>
      <c r="B21" s="26" t="s">
        <v>128</v>
      </c>
      <c r="C21" s="26" t="s">
        <v>285</v>
      </c>
      <c r="D21" s="26" t="s">
        <v>201</v>
      </c>
      <c r="E21" s="26" t="s">
        <v>267</v>
      </c>
      <c r="F21" s="54">
        <v>4</v>
      </c>
      <c r="G21" s="54">
        <v>6</v>
      </c>
      <c r="H21" s="54">
        <v>7</v>
      </c>
      <c r="I21" s="54">
        <v>8</v>
      </c>
    </row>
    <row r="22" spans="1:9" x14ac:dyDescent="0.2">
      <c r="A22" s="54">
        <v>43</v>
      </c>
      <c r="B22" s="26" t="s">
        <v>129</v>
      </c>
      <c r="C22" s="26" t="s">
        <v>286</v>
      </c>
      <c r="D22" s="26" t="s">
        <v>202</v>
      </c>
      <c r="E22" s="26" t="s">
        <v>267</v>
      </c>
      <c r="F22" s="54">
        <v>2</v>
      </c>
      <c r="G22" s="54">
        <v>3</v>
      </c>
      <c r="H22" s="54">
        <v>4</v>
      </c>
      <c r="I22" s="54">
        <v>5</v>
      </c>
    </row>
    <row r="23" spans="1:9" x14ac:dyDescent="0.2">
      <c r="A23" s="54">
        <v>45</v>
      </c>
      <c r="B23" s="26" t="s">
        <v>130</v>
      </c>
      <c r="C23" s="26" t="s">
        <v>287</v>
      </c>
      <c r="D23" s="26" t="s">
        <v>203</v>
      </c>
      <c r="E23" s="26" t="s">
        <v>267</v>
      </c>
      <c r="F23" s="54">
        <v>3</v>
      </c>
      <c r="G23" s="54">
        <v>5</v>
      </c>
      <c r="H23" s="54">
        <v>6</v>
      </c>
      <c r="I23" s="54">
        <v>7</v>
      </c>
    </row>
    <row r="24" spans="1:9" x14ac:dyDescent="0.2">
      <c r="A24" s="54">
        <v>47</v>
      </c>
      <c r="B24" s="26" t="s">
        <v>131</v>
      </c>
      <c r="C24" s="26" t="s">
        <v>300</v>
      </c>
      <c r="D24" s="26" t="s">
        <v>204</v>
      </c>
      <c r="E24" s="26" t="s">
        <v>267</v>
      </c>
      <c r="F24" s="54">
        <v>3</v>
      </c>
      <c r="G24" s="54">
        <v>4</v>
      </c>
      <c r="H24" s="54">
        <v>5</v>
      </c>
      <c r="I24" s="54">
        <v>6</v>
      </c>
    </row>
    <row r="25" spans="1:9" x14ac:dyDescent="0.2">
      <c r="A25" s="54">
        <v>49</v>
      </c>
      <c r="B25" s="26" t="s">
        <v>132</v>
      </c>
      <c r="C25" s="26" t="s">
        <v>288</v>
      </c>
      <c r="D25" s="26" t="s">
        <v>205</v>
      </c>
      <c r="E25" s="26" t="s">
        <v>267</v>
      </c>
      <c r="F25" s="54">
        <v>4</v>
      </c>
      <c r="G25" s="54">
        <v>5</v>
      </c>
      <c r="H25" s="54">
        <v>6</v>
      </c>
      <c r="I25" s="54">
        <v>7</v>
      </c>
    </row>
    <row r="26" spans="1:9" x14ac:dyDescent="0.2">
      <c r="A26" s="54">
        <v>51</v>
      </c>
      <c r="B26" s="26" t="s">
        <v>133</v>
      </c>
      <c r="C26" s="26" t="s">
        <v>289</v>
      </c>
      <c r="D26" s="26" t="s">
        <v>206</v>
      </c>
      <c r="E26" s="26" t="s">
        <v>267</v>
      </c>
      <c r="F26" s="54">
        <v>4</v>
      </c>
      <c r="G26" s="54">
        <v>5</v>
      </c>
      <c r="H26" s="54">
        <v>6</v>
      </c>
      <c r="I26" s="54">
        <v>7</v>
      </c>
    </row>
    <row r="27" spans="1:9" x14ac:dyDescent="0.2">
      <c r="A27" s="54">
        <v>53</v>
      </c>
      <c r="B27" s="26" t="s">
        <v>134</v>
      </c>
      <c r="C27" s="26" t="s">
        <v>290</v>
      </c>
      <c r="D27" s="26" t="s">
        <v>207</v>
      </c>
      <c r="E27" s="26" t="s">
        <v>267</v>
      </c>
      <c r="F27" s="54">
        <v>6</v>
      </c>
      <c r="G27" s="54">
        <v>7</v>
      </c>
      <c r="H27" s="54">
        <v>8</v>
      </c>
      <c r="I27" s="54">
        <v>9</v>
      </c>
    </row>
    <row r="28" spans="1:9" x14ac:dyDescent="0.2">
      <c r="A28" s="54">
        <v>55</v>
      </c>
      <c r="B28" s="26" t="s">
        <v>135</v>
      </c>
      <c r="C28" s="26" t="s">
        <v>301</v>
      </c>
      <c r="D28" s="26" t="s">
        <v>208</v>
      </c>
      <c r="E28" s="26" t="s">
        <v>267</v>
      </c>
      <c r="F28" s="54">
        <v>6</v>
      </c>
      <c r="G28" s="54">
        <v>7</v>
      </c>
      <c r="H28" s="54">
        <v>8</v>
      </c>
      <c r="I28" s="54">
        <v>9</v>
      </c>
    </row>
    <row r="29" spans="1:9" x14ac:dyDescent="0.2">
      <c r="A29" s="54">
        <v>57</v>
      </c>
      <c r="B29" s="26" t="s">
        <v>136</v>
      </c>
      <c r="C29" s="26" t="s">
        <v>291</v>
      </c>
      <c r="D29" s="26" t="s">
        <v>209</v>
      </c>
      <c r="E29" s="26" t="s">
        <v>267</v>
      </c>
      <c r="F29" s="54">
        <v>5</v>
      </c>
      <c r="G29" s="54">
        <v>6</v>
      </c>
      <c r="H29" s="54">
        <v>7</v>
      </c>
      <c r="I29" s="54">
        <v>8</v>
      </c>
    </row>
    <row r="30" spans="1:9" x14ac:dyDescent="0.2">
      <c r="A30" s="54">
        <v>59</v>
      </c>
      <c r="B30" s="26" t="s">
        <v>137</v>
      </c>
      <c r="C30" s="26" t="s">
        <v>302</v>
      </c>
      <c r="D30" s="26" t="s">
        <v>210</v>
      </c>
      <c r="E30" s="26" t="s">
        <v>267</v>
      </c>
      <c r="F30" s="54">
        <v>7</v>
      </c>
      <c r="G30" s="54">
        <v>7</v>
      </c>
      <c r="H30" s="54">
        <v>8</v>
      </c>
      <c r="I30" s="54">
        <v>9</v>
      </c>
    </row>
    <row r="31" spans="1:9" x14ac:dyDescent="0.2">
      <c r="A31" s="54">
        <v>61</v>
      </c>
      <c r="B31" s="26" t="s">
        <v>138</v>
      </c>
      <c r="C31" s="26" t="s">
        <v>292</v>
      </c>
      <c r="D31" s="26" t="s">
        <v>211</v>
      </c>
      <c r="E31" s="26" t="s">
        <v>267</v>
      </c>
      <c r="F31" s="54">
        <v>6</v>
      </c>
      <c r="G31" s="54">
        <v>7</v>
      </c>
      <c r="H31" s="54">
        <v>8</v>
      </c>
      <c r="I31" s="54">
        <v>9</v>
      </c>
    </row>
    <row r="32" spans="1:9" x14ac:dyDescent="0.2">
      <c r="A32" s="54">
        <v>63</v>
      </c>
      <c r="B32" s="26" t="s">
        <v>139</v>
      </c>
      <c r="C32" s="26" t="s">
        <v>293</v>
      </c>
      <c r="D32" s="26" t="s">
        <v>212</v>
      </c>
      <c r="E32" s="26" t="s">
        <v>267</v>
      </c>
      <c r="F32" s="54">
        <v>6</v>
      </c>
      <c r="G32" s="54">
        <v>7</v>
      </c>
      <c r="H32" s="54">
        <v>8</v>
      </c>
      <c r="I32" s="54">
        <v>9</v>
      </c>
    </row>
    <row r="33" spans="1:9" x14ac:dyDescent="0.2">
      <c r="A33" s="54">
        <v>65</v>
      </c>
      <c r="B33" s="26" t="s">
        <v>140</v>
      </c>
      <c r="C33" s="26" t="s">
        <v>294</v>
      </c>
      <c r="D33" s="26" t="s">
        <v>213</v>
      </c>
      <c r="E33" s="26" t="s">
        <v>267</v>
      </c>
      <c r="F33" s="54">
        <v>7</v>
      </c>
      <c r="G33" s="54">
        <v>7</v>
      </c>
      <c r="H33" s="54">
        <v>8</v>
      </c>
      <c r="I33" s="54">
        <v>9</v>
      </c>
    </row>
    <row r="34" spans="1:9" x14ac:dyDescent="0.2">
      <c r="A34" s="54">
        <v>67</v>
      </c>
      <c r="B34" s="26" t="s">
        <v>141</v>
      </c>
      <c r="C34" s="26" t="s">
        <v>295</v>
      </c>
      <c r="D34" s="26" t="s">
        <v>214</v>
      </c>
      <c r="E34" s="26" t="s">
        <v>267</v>
      </c>
      <c r="F34" s="54">
        <v>2</v>
      </c>
      <c r="G34" s="54">
        <v>4</v>
      </c>
      <c r="H34" s="54">
        <v>5</v>
      </c>
      <c r="I34" s="54">
        <v>6</v>
      </c>
    </row>
    <row r="35" spans="1:9" x14ac:dyDescent="0.2">
      <c r="A35" s="54">
        <v>69</v>
      </c>
      <c r="B35" s="26" t="s">
        <v>142</v>
      </c>
      <c r="C35" s="26" t="s">
        <v>296</v>
      </c>
      <c r="D35" s="26" t="s">
        <v>215</v>
      </c>
      <c r="E35" s="26" t="s">
        <v>267</v>
      </c>
      <c r="F35" s="54">
        <v>2</v>
      </c>
      <c r="G35" s="54">
        <v>4</v>
      </c>
      <c r="H35" s="54">
        <v>5</v>
      </c>
      <c r="I35" s="54">
        <v>6</v>
      </c>
    </row>
    <row r="36" spans="1:9" x14ac:dyDescent="0.2">
      <c r="A36" s="54">
        <v>73</v>
      </c>
      <c r="B36" s="26" t="s">
        <v>306</v>
      </c>
      <c r="C36" s="26" t="s">
        <v>297</v>
      </c>
      <c r="D36" s="26" t="s">
        <v>216</v>
      </c>
      <c r="E36" s="26" t="s">
        <v>267</v>
      </c>
      <c r="F36" s="54">
        <v>5</v>
      </c>
      <c r="G36" s="54">
        <v>6</v>
      </c>
      <c r="H36" s="54">
        <v>7</v>
      </c>
      <c r="I36" s="54">
        <v>8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B2:T30"/>
  <sheetViews>
    <sheetView workbookViewId="0">
      <selection activeCell="E56" sqref="E56"/>
    </sheetView>
  </sheetViews>
  <sheetFormatPr defaultColWidth="10.875" defaultRowHeight="12.75" x14ac:dyDescent="0.2"/>
  <cols>
    <col min="1" max="2" width="1.875" style="14" customWidth="1"/>
    <col min="3" max="3" width="22.625" style="14" bestFit="1" customWidth="1"/>
    <col min="4" max="4" width="23.5" style="37" bestFit="1" customWidth="1"/>
    <col min="5" max="7" width="1.875" style="14" customWidth="1"/>
    <col min="8" max="8" width="22.125" style="27" bestFit="1" customWidth="1"/>
    <col min="9" max="9" width="23.5" style="14" bestFit="1" customWidth="1"/>
    <col min="10" max="12" width="1.875" style="14" customWidth="1"/>
    <col min="13" max="13" width="28.625" style="14" bestFit="1" customWidth="1"/>
    <col min="14" max="14" width="10.875" style="37"/>
    <col min="15" max="17" width="1.875" style="14" customWidth="1"/>
    <col min="18" max="18" width="21.5" style="14" bestFit="1" customWidth="1"/>
    <col min="19" max="19" width="24" style="14" bestFit="1" customWidth="1"/>
    <col min="20" max="20" width="1.875" style="14" customWidth="1"/>
    <col min="21" max="16384" width="10.875" style="14"/>
  </cols>
  <sheetData>
    <row r="2" spans="2:20" ht="13.5" thickBot="1" x14ac:dyDescent="0.25"/>
    <row r="3" spans="2:20" x14ac:dyDescent="0.2">
      <c r="B3" s="15"/>
      <c r="C3" s="16"/>
      <c r="D3" s="38"/>
      <c r="E3" s="17"/>
      <c r="G3" s="15"/>
      <c r="H3" s="41"/>
      <c r="I3" s="16"/>
      <c r="J3" s="17"/>
      <c r="L3" s="15"/>
      <c r="M3" s="16"/>
      <c r="N3" s="38"/>
      <c r="O3" s="17"/>
      <c r="Q3" s="15"/>
      <c r="R3" s="16"/>
      <c r="S3" s="16"/>
      <c r="T3" s="17"/>
    </row>
    <row r="4" spans="2:20" x14ac:dyDescent="0.2">
      <c r="B4" s="18"/>
      <c r="C4" s="28" t="s">
        <v>104</v>
      </c>
      <c r="D4" s="39"/>
      <c r="E4" s="21"/>
      <c r="G4" s="18"/>
      <c r="H4" s="28" t="s">
        <v>227</v>
      </c>
      <c r="I4" s="20"/>
      <c r="J4" s="21"/>
      <c r="L4" s="18"/>
      <c r="M4" s="28" t="s">
        <v>243</v>
      </c>
      <c r="N4" s="39"/>
      <c r="O4" s="21"/>
      <c r="Q4" s="18"/>
      <c r="R4" s="28" t="s">
        <v>309</v>
      </c>
      <c r="S4" s="20"/>
      <c r="T4" s="21"/>
    </row>
    <row r="5" spans="2:20" x14ac:dyDescent="0.2">
      <c r="B5" s="18"/>
      <c r="C5" s="20"/>
      <c r="D5" s="39"/>
      <c r="E5" s="21"/>
      <c r="G5" s="18"/>
      <c r="H5" s="28"/>
      <c r="I5" s="20"/>
      <c r="J5" s="21"/>
      <c r="L5" s="18"/>
      <c r="M5" s="20"/>
      <c r="N5" s="39"/>
      <c r="O5" s="21"/>
      <c r="Q5" s="18"/>
      <c r="R5" s="20"/>
      <c r="S5" s="20"/>
      <c r="T5" s="21"/>
    </row>
    <row r="6" spans="2:20" x14ac:dyDescent="0.2">
      <c r="B6" s="18"/>
      <c r="C6" s="29" t="s">
        <v>87</v>
      </c>
      <c r="D6" s="39" t="str">
        <f>TRIM('Executive Mapping Analysis'!D10)</f>
        <v>Buffalo Wild Wing, Inc.</v>
      </c>
      <c r="E6" s="21"/>
      <c r="G6" s="18"/>
      <c r="H6" s="29" t="s">
        <v>256</v>
      </c>
      <c r="I6" s="39" t="str">
        <f>IF(D23=2,"",IF(D23=8,"",IF(D23=12,"",IF(D23=17,"","X"))))</f>
        <v>X</v>
      </c>
      <c r="J6" s="21"/>
      <c r="L6" s="18"/>
      <c r="M6" s="29" t="s">
        <v>246</v>
      </c>
      <c r="N6" s="39" t="str">
        <f>IF(D7=3,D10,"")</f>
        <v/>
      </c>
      <c r="O6" s="21"/>
      <c r="Q6" s="18"/>
      <c r="R6" s="29" t="s">
        <v>310</v>
      </c>
      <c r="S6" s="20" t="str">
        <f>TRIM('Executive Mapping Analysis'!D48)</f>
        <v>Chief Financial Officer</v>
      </c>
      <c r="T6" s="21"/>
    </row>
    <row r="7" spans="2:20" x14ac:dyDescent="0.2">
      <c r="B7" s="18"/>
      <c r="C7" s="29" t="s">
        <v>89</v>
      </c>
      <c r="D7" s="39">
        <f>IF('Executive Mapping Analysis'!D12&lt;&gt;"",VLOOKUP('Executive Mapping Analysis'!D12,DROPDOWNS!C4:D6,2,FALSE),1)</f>
        <v>2</v>
      </c>
      <c r="E7" s="21"/>
      <c r="G7" s="18"/>
      <c r="H7" s="29"/>
      <c r="I7" s="20"/>
      <c r="J7" s="21"/>
      <c r="L7" s="18"/>
      <c r="M7" s="29" t="s">
        <v>247</v>
      </c>
      <c r="N7" s="39" t="str">
        <f>IFERROR((N6/D18),"")</f>
        <v/>
      </c>
      <c r="O7" s="21"/>
      <c r="Q7" s="18"/>
      <c r="R7" s="29"/>
      <c r="S7" s="20"/>
      <c r="T7" s="21"/>
    </row>
    <row r="8" spans="2:20" x14ac:dyDescent="0.2">
      <c r="B8" s="18"/>
      <c r="C8" s="29" t="s">
        <v>88</v>
      </c>
      <c r="D8" s="39" t="str">
        <f>IF(D7=1,"",IF(D7=2,D6,IF(D7=3,TRIM('Executive Mapping Analysis'!D14),"")))</f>
        <v>Buffalo Wild Wing, Inc.</v>
      </c>
      <c r="E8" s="21"/>
      <c r="G8" s="18"/>
      <c r="H8" s="29" t="s">
        <v>228</v>
      </c>
      <c r="I8" s="20">
        <f>IFERROR(IF($I$6="X",(1.4427*(LN(($D$18+($D$20+($D$21*80000))/2)/2)-0.4316)),(1.4427*(LN($D$18-0.4316)))),"")</f>
        <v>29.184367108136961</v>
      </c>
      <c r="J8" s="21"/>
      <c r="L8" s="18"/>
      <c r="M8" s="29"/>
      <c r="N8" s="39"/>
      <c r="O8" s="21"/>
      <c r="Q8" s="18"/>
      <c r="R8" s="29" t="s">
        <v>311</v>
      </c>
      <c r="S8" s="20" t="str">
        <f>IFERROR(IF(D7&lt;&gt;3,VLOOKUP(S6,'LOOKUPS - CORP JOBS'!B:C,2,FALSE),VLOOKUP(CALCULATIONS!S6,'LOOKUPS - BU JOBS'!B:C,2,FALSE)),"")</f>
        <v>0020</v>
      </c>
      <c r="T8" s="21"/>
    </row>
    <row r="9" spans="2:20" x14ac:dyDescent="0.2">
      <c r="B9" s="18"/>
      <c r="C9" s="29"/>
      <c r="D9" s="39"/>
      <c r="E9" s="21"/>
      <c r="G9" s="18"/>
      <c r="H9" s="29" t="s">
        <v>229</v>
      </c>
      <c r="I9" s="45">
        <f>IFERROR((1.7062*(LN(D19/1000000000))+27.795),"")</f>
        <v>29.502278114181351</v>
      </c>
      <c r="J9" s="21"/>
      <c r="L9" s="18"/>
      <c r="M9" s="29" t="s">
        <v>263</v>
      </c>
      <c r="N9" s="14">
        <f>IFERROR(VLOOKUP((IF($N$7&lt;0.05,2,IF($N$7&lt;0.1,3,IF($N$7&lt;0.2,4,IF($N$7&lt;0.4,5,IF($N$7&lt;0.8,6,7)))))),LOOKUPS!$C$45:$H$50,(IF($I$23&lt;26,3,IF($I$23&lt;31,4,IF($I$23&lt;35,5,6)))),FALSE),"")</f>
        <v>-1.6</v>
      </c>
      <c r="O9" s="21"/>
      <c r="Q9" s="18"/>
      <c r="R9" s="29" t="s">
        <v>312</v>
      </c>
      <c r="S9" s="20" t="str">
        <f>IFERROR(IF(D7&lt;&gt;3,VLOOKUP(S6,'LOOKUPS - CORP JOBS'!B:D,3,FALSE),VLOOKUP(CALCULATIONS!S6,'LOOKUPS - BU JOBS'!B:D,3,FALSE)),"")</f>
        <v>Chief Financial Officer</v>
      </c>
      <c r="T9" s="21"/>
    </row>
    <row r="10" spans="2:20" x14ac:dyDescent="0.2">
      <c r="B10" s="18"/>
      <c r="C10" s="29" t="s">
        <v>90</v>
      </c>
      <c r="D10" s="39">
        <f>IFERROR(((IF(D7=2,TRIM('Executive Mapping Analysis'!E20),TRIM('Executive Mapping Analysis'!E35)))*1000000),"")</f>
        <v>1516000000</v>
      </c>
      <c r="E10" s="21"/>
      <c r="G10" s="18"/>
      <c r="H10" s="29"/>
      <c r="I10" s="20"/>
      <c r="J10" s="21"/>
      <c r="L10" s="18"/>
      <c r="M10" s="29" t="s">
        <v>264</v>
      </c>
      <c r="N10" s="39">
        <f>IFERROR(VLOOKUP(D29,LOOKUPS!E57:F62,2,FALSE),"")</f>
        <v>0</v>
      </c>
      <c r="O10" s="21"/>
      <c r="Q10" s="18"/>
      <c r="R10" s="29"/>
      <c r="S10" s="20"/>
      <c r="T10" s="21"/>
    </row>
    <row r="11" spans="2:20" x14ac:dyDescent="0.2">
      <c r="B11" s="18"/>
      <c r="C11" s="29" t="s">
        <v>91</v>
      </c>
      <c r="D11" s="39">
        <f>IFERROR((IF(D7=2,TRIM('Executive Mapping Analysis'!E24),"")*1000000),"")</f>
        <v>2720000000</v>
      </c>
      <c r="E11" s="21"/>
      <c r="G11" s="18"/>
      <c r="H11" s="29" t="s">
        <v>257</v>
      </c>
      <c r="I11" s="20">
        <f>IFERROR(IF(I9&lt;&gt;"",((I8*0.75)+(I9*0.25)),I8),"")</f>
        <v>29.263844859648056</v>
      </c>
      <c r="J11" s="21"/>
      <c r="L11" s="18"/>
      <c r="M11" s="29"/>
      <c r="N11" s="39"/>
      <c r="O11" s="21"/>
      <c r="Q11" s="18"/>
      <c r="R11" s="29" t="s">
        <v>324</v>
      </c>
      <c r="S11" s="20" t="str">
        <f>IF(D7&lt;&gt;3,"Corporate","Business Unit")</f>
        <v>Corporate</v>
      </c>
      <c r="T11" s="21"/>
    </row>
    <row r="12" spans="2:20" x14ac:dyDescent="0.2">
      <c r="B12" s="18"/>
      <c r="C12" s="29" t="s">
        <v>92</v>
      </c>
      <c r="D12" s="39">
        <f>IFERROR((IF(D7=2,TRIM('Executive Mapping Analysis'!E22),"")*1000000),"")</f>
        <v>197000000</v>
      </c>
      <c r="E12" s="21"/>
      <c r="G12" s="18"/>
      <c r="H12" s="29"/>
      <c r="I12" s="20"/>
      <c r="J12" s="21"/>
      <c r="L12" s="18"/>
      <c r="M12" s="29" t="s">
        <v>265</v>
      </c>
      <c r="N12" s="39">
        <f>SUM(N9:N10)</f>
        <v>-1.6</v>
      </c>
      <c r="O12" s="21"/>
      <c r="Q12" s="18"/>
      <c r="R12" s="29"/>
      <c r="S12" s="20"/>
      <c r="T12" s="21"/>
    </row>
    <row r="13" spans="2:20" x14ac:dyDescent="0.2">
      <c r="B13" s="18"/>
      <c r="C13" s="29" t="s">
        <v>93</v>
      </c>
      <c r="D13" s="39" t="str">
        <f>IF(D7=2,TRIM('Executive Mapping Analysis'!E26),"")</f>
        <v>6600</v>
      </c>
      <c r="E13" s="21"/>
      <c r="G13" s="18"/>
      <c r="H13" s="29" t="s">
        <v>248</v>
      </c>
      <c r="I13" s="20">
        <f>IFERROR(IF($I$11&lt;26,3,IF($I$11&lt;31,4,IF($I$11&lt;35,5,6))),"")</f>
        <v>4</v>
      </c>
      <c r="J13" s="21"/>
      <c r="L13" s="18"/>
      <c r="M13" s="20"/>
      <c r="N13" s="39"/>
      <c r="O13" s="21"/>
      <c r="Q13" s="18"/>
      <c r="R13" s="29" t="s">
        <v>226</v>
      </c>
      <c r="S13" s="20">
        <f>D29</f>
        <v>1</v>
      </c>
      <c r="T13" s="21"/>
    </row>
    <row r="14" spans="2:20" x14ac:dyDescent="0.2">
      <c r="B14" s="18"/>
      <c r="C14" s="29" t="s">
        <v>94</v>
      </c>
      <c r="D14" s="39">
        <f>IFERROR(IF(D7=2,VLOOKUP(TRIM('Executive Mapping Analysis'!E28),DROPDOWNS!M4:N11,2,FALSE),""),"")</f>
        <v>7</v>
      </c>
      <c r="E14" s="21"/>
      <c r="G14" s="18"/>
      <c r="H14" s="29" t="s">
        <v>230</v>
      </c>
      <c r="I14" s="20">
        <f>IFERROR(VLOOKUP(D23,LOOKUPS!C5:H28,CALCULATIONS!I13,FALSE),0)</f>
        <v>0</v>
      </c>
      <c r="J14" s="21"/>
      <c r="L14" s="18"/>
      <c r="M14" s="43" t="s">
        <v>255</v>
      </c>
      <c r="N14" s="44">
        <f>IFERROR((I23+N12),"")</f>
        <v>27.413844859648055</v>
      </c>
      <c r="O14" s="21"/>
      <c r="Q14" s="18"/>
      <c r="R14" s="29" t="s">
        <v>325</v>
      </c>
      <c r="S14" s="20">
        <f>IF(S13=1,4,IF(S13=2,5,IF(S13=3,6,IF(S13=4,7,""))))</f>
        <v>4</v>
      </c>
      <c r="T14" s="21"/>
    </row>
    <row r="15" spans="2:20" ht="13.5" thickBot="1" x14ac:dyDescent="0.25">
      <c r="B15" s="18"/>
      <c r="C15" s="29" t="s">
        <v>95</v>
      </c>
      <c r="D15" s="39">
        <f>IFERROR(IF(D7=2,VLOOKUP(TRIM('Executive Mapping Analysis'!E30),DROPDOWNS!H4:I27,2,FALSE),""),"")</f>
        <v>21</v>
      </c>
      <c r="E15" s="21"/>
      <c r="G15" s="18"/>
      <c r="H15" s="29"/>
      <c r="I15" s="20"/>
      <c r="J15" s="21"/>
      <c r="L15" s="23"/>
      <c r="M15" s="24"/>
      <c r="N15" s="40"/>
      <c r="O15" s="25"/>
      <c r="Q15" s="18"/>
      <c r="R15" s="29"/>
      <c r="S15" s="20"/>
      <c r="T15" s="21"/>
    </row>
    <row r="16" spans="2:20" x14ac:dyDescent="0.2">
      <c r="B16" s="18"/>
      <c r="C16" s="29" t="s">
        <v>96</v>
      </c>
      <c r="D16" s="39">
        <f>IFERROR(IF(D7=2,VLOOKUP(TRIM('Executive Mapping Analysis'!E32),DROPDOWNS!R4:S9,2,FALSE),""),"")</f>
        <v>2</v>
      </c>
      <c r="E16" s="21"/>
      <c r="G16" s="18"/>
      <c r="H16" s="29" t="s">
        <v>237</v>
      </c>
      <c r="I16" s="20">
        <f>IFERROR(VLOOKUP(D22,LOOKUPS!C69:E75,3,FALSE),0)</f>
        <v>0</v>
      </c>
      <c r="J16" s="21"/>
      <c r="Q16" s="18"/>
      <c r="R16" s="29" t="s">
        <v>264</v>
      </c>
      <c r="S16" s="20">
        <f>IFERROR((IF(S11="Corporate",VLOOKUP(S8,'LOOKUPS - CORP JOBS'!C:I,CALCULATIONS!S14,FALSE),IF(CALCULATIONS!S11="Business Unit",VLOOKUP(CALCULATIONS!S8,'LOOKUPS - BU JOBS'!C:I,CALCULATIONS!S14,FALSE),"")))*(IF($I$23&lt;26,0.7,IF($I$23&lt;31,0.8,IF($I$23&lt;35,0.9,1)))),"")</f>
        <v>3.2</v>
      </c>
      <c r="T16" s="21"/>
    </row>
    <row r="17" spans="2:20" ht="13.5" thickBot="1" x14ac:dyDescent="0.25">
      <c r="B17" s="18"/>
      <c r="C17" s="29"/>
      <c r="D17" s="39"/>
      <c r="E17" s="21"/>
      <c r="G17" s="18"/>
      <c r="H17" s="29"/>
      <c r="I17" s="20"/>
      <c r="J17" s="21"/>
      <c r="Q17" s="18"/>
      <c r="R17" s="20"/>
      <c r="S17" s="20"/>
      <c r="T17" s="21"/>
    </row>
    <row r="18" spans="2:20" x14ac:dyDescent="0.2">
      <c r="B18" s="18"/>
      <c r="C18" s="29" t="s">
        <v>97</v>
      </c>
      <c r="D18" s="39">
        <f>IFERROR((IF(D7=2,D10,TRIM('Executive Mapping Analysis'!E20)*1000000)),"")</f>
        <v>1516000000</v>
      </c>
      <c r="E18" s="21"/>
      <c r="G18" s="18"/>
      <c r="H18" s="29" t="s">
        <v>249</v>
      </c>
      <c r="I18" s="20">
        <f>IFERROR(IF($I$11&lt;26,3,IF($I$11&lt;31,4,IF($I$11&lt;35,5,6))),"")</f>
        <v>4</v>
      </c>
      <c r="J18" s="21"/>
      <c r="L18" s="15"/>
      <c r="M18" s="16"/>
      <c r="N18" s="38"/>
      <c r="O18" s="17"/>
      <c r="Q18" s="18"/>
      <c r="R18" s="43" t="s">
        <v>326</v>
      </c>
      <c r="S18" s="43">
        <f>IFERROR(IF(S11="Corporate",(I23-S16),IF(S11="Business Unit",(N14-S16),"")),"")</f>
        <v>25.813844859648057</v>
      </c>
      <c r="T18" s="21"/>
    </row>
    <row r="19" spans="2:20" ht="13.5" thickBot="1" x14ac:dyDescent="0.25">
      <c r="B19" s="18"/>
      <c r="C19" s="29" t="s">
        <v>98</v>
      </c>
      <c r="D19" s="39">
        <f>IFERROR((IF(D7=2,D11,TRIM('Executive Mapping Analysis'!E24)*1000000)),"")</f>
        <v>2720000000</v>
      </c>
      <c r="E19" s="21"/>
      <c r="G19" s="18"/>
      <c r="H19" s="29" t="s">
        <v>231</v>
      </c>
      <c r="I19" s="20">
        <f>IFERROR(VLOOKUP(D24,LOOKUPS!C34:H39,CALCULATIONS!I18,FALSE),0)</f>
        <v>-0.25</v>
      </c>
      <c r="J19" s="21"/>
      <c r="L19" s="18"/>
      <c r="M19" s="57" t="s">
        <v>328</v>
      </c>
      <c r="N19" s="58">
        <f>IFERROR(ROUND(IF(S9="Chief Executive Officer",I23,IF(S9="Group Head",N14,IF(S9="Division Head",N14,S18))),0),"")</f>
        <v>26</v>
      </c>
      <c r="O19" s="21"/>
      <c r="Q19" s="23"/>
      <c r="R19" s="24"/>
      <c r="S19" s="24"/>
      <c r="T19" s="25"/>
    </row>
    <row r="20" spans="2:20" ht="13.5" thickBot="1" x14ac:dyDescent="0.25">
      <c r="B20" s="18"/>
      <c r="C20" s="29" t="s">
        <v>99</v>
      </c>
      <c r="D20" s="39">
        <f>IFERROR((IF(D7=2,D12,TRIM('Executive Mapping Analysis'!E22)*1000000)),"")</f>
        <v>197000000</v>
      </c>
      <c r="E20" s="21"/>
      <c r="G20" s="18"/>
      <c r="H20" s="29"/>
      <c r="I20" s="20"/>
      <c r="J20" s="21"/>
      <c r="L20" s="23"/>
      <c r="M20" s="24"/>
      <c r="N20" s="40"/>
      <c r="O20" s="25"/>
    </row>
    <row r="21" spans="2:20" x14ac:dyDescent="0.2">
      <c r="B21" s="18"/>
      <c r="C21" s="29" t="s">
        <v>100</v>
      </c>
      <c r="D21" s="39" t="str">
        <f>IF(D7=2,D13,TRIM('Executive Mapping Analysis'!E26))</f>
        <v>6600</v>
      </c>
      <c r="E21" s="21"/>
      <c r="G21" s="18"/>
      <c r="H21" s="29" t="s">
        <v>241</v>
      </c>
      <c r="I21" s="20">
        <f>IFERROR(SUM(I19+I16+I14),0)</f>
        <v>-0.25</v>
      </c>
      <c r="J21" s="21"/>
    </row>
    <row r="22" spans="2:20" x14ac:dyDescent="0.2">
      <c r="B22" s="18"/>
      <c r="C22" s="29" t="s">
        <v>101</v>
      </c>
      <c r="D22" s="39">
        <f>IFERROR(IF(D7=2,D14,VLOOKUP(TRIM('Executive Mapping Analysis'!E28),DROPDOWNS!M4:N11,2,FALSE)),"")</f>
        <v>7</v>
      </c>
      <c r="E22" s="21"/>
      <c r="G22" s="18"/>
      <c r="H22" s="29"/>
      <c r="I22" s="20"/>
      <c r="J22" s="21"/>
    </row>
    <row r="23" spans="2:20" x14ac:dyDescent="0.2">
      <c r="B23" s="18"/>
      <c r="C23" s="29" t="s">
        <v>102</v>
      </c>
      <c r="D23" s="39">
        <f>IFERROR(IF(D7=2,D15,VLOOKUP(TRIM('Executive Mapping Analysis'!E30),DROPDOWNS!H4:I27,2,FALSE)),"")</f>
        <v>21</v>
      </c>
      <c r="E23" s="21"/>
      <c r="G23" s="18"/>
      <c r="H23" s="43" t="s">
        <v>242</v>
      </c>
      <c r="I23" s="43">
        <f>IFERROR((I11+I21),"")</f>
        <v>29.013844859648056</v>
      </c>
      <c r="J23" s="21"/>
    </row>
    <row r="24" spans="2:20" ht="13.5" thickBot="1" x14ac:dyDescent="0.25">
      <c r="B24" s="18"/>
      <c r="C24" s="29" t="s">
        <v>103</v>
      </c>
      <c r="D24" s="39">
        <f>IFERROR(IF(D7=2,D16,VLOOKUP(TRIM('Executive Mapping Analysis'!E32),DROPDOWNS!R4:S9,2,FALSE)),"")</f>
        <v>2</v>
      </c>
      <c r="E24" s="21"/>
      <c r="G24" s="23"/>
      <c r="H24" s="42"/>
      <c r="I24" s="24"/>
      <c r="J24" s="25"/>
    </row>
    <row r="25" spans="2:20" x14ac:dyDescent="0.2">
      <c r="B25" s="18"/>
      <c r="C25" s="20"/>
      <c r="D25" s="39"/>
      <c r="E25" s="21"/>
    </row>
    <row r="26" spans="2:20" x14ac:dyDescent="0.2">
      <c r="B26" s="18"/>
      <c r="C26" s="29" t="s">
        <v>224</v>
      </c>
      <c r="D26" s="39" t="str">
        <f>TRIM('Executive Mapping Analysis'!D44)</f>
        <v>Chief Financial Officer</v>
      </c>
      <c r="E26" s="21"/>
    </row>
    <row r="27" spans="2:20" x14ac:dyDescent="0.2">
      <c r="B27" s="18"/>
      <c r="C27" s="29" t="s">
        <v>225</v>
      </c>
      <c r="D27" s="39" t="str">
        <f>TRIM('Executive Mapping Analysis'!D46)</f>
        <v>USA</v>
      </c>
      <c r="E27" s="21"/>
    </row>
    <row r="28" spans="2:20" x14ac:dyDescent="0.2">
      <c r="B28" s="18"/>
      <c r="C28" s="29" t="s">
        <v>322</v>
      </c>
      <c r="D28" s="39" t="str">
        <f>IFERROR(VLOOKUP('Executive Mapping Analysis'!D54,DROPDOWNS!AD5:AE8,2,FALSE),"")</f>
        <v/>
      </c>
      <c r="E28" s="21"/>
    </row>
    <row r="29" spans="2:20" x14ac:dyDescent="0.2">
      <c r="B29" s="18"/>
      <c r="C29" s="29" t="s">
        <v>323</v>
      </c>
      <c r="D29" s="39">
        <f>IFERROR(VLOOKUP('Executive Mapping Analysis'!D59,DROPDOWNS!AD5:AE8,2,FALSE),"")</f>
        <v>1</v>
      </c>
      <c r="E29" s="21"/>
    </row>
    <row r="30" spans="2:20" ht="13.5" thickBot="1" x14ac:dyDescent="0.25">
      <c r="B30" s="23"/>
      <c r="C30" s="24"/>
      <c r="D30" s="40"/>
      <c r="E30" s="25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Executive Mapping Analysis</vt:lpstr>
      <vt:lpstr>Data Capture Sheet</vt:lpstr>
      <vt:lpstr>DROPDOWNS</vt:lpstr>
      <vt:lpstr>LOOKUPS</vt:lpstr>
      <vt:lpstr>LOOKUPS - CORP JOBS</vt:lpstr>
      <vt:lpstr>LOOKUPS - BU JOBS</vt:lpstr>
      <vt:lpstr>CALCULATIONS</vt:lpstr>
      <vt:lpstr>ClientName</vt:lpstr>
      <vt:lpstr>Internationalization</vt:lpstr>
      <vt:lpstr>JobTitle</vt:lpstr>
      <vt:lpstr>Ownership</vt:lpstr>
      <vt:lpstr>ReportingLevel</vt:lpstr>
      <vt:lpstr>Sector</vt:lpstr>
      <vt:lpstr>YesNo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Marzo</cp:lastModifiedBy>
  <dcterms:created xsi:type="dcterms:W3CDTF">2016-03-14T01:07:11Z</dcterms:created>
  <dcterms:modified xsi:type="dcterms:W3CDTF">2016-09-21T20:02:51Z</dcterms:modified>
</cp:coreProperties>
</file>